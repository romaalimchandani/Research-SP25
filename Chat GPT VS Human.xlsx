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ED13A8F3-C97D-40C3-9AF2-3F719FA90A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4" i="2" l="1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3" i="2"/>
  <c r="C4" i="2"/>
  <c r="C5" i="2"/>
  <c r="C2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<sst xmlns="http://schemas.openxmlformats.org/spreadsheetml/2006/main" count="461" uniqueCount="379">
  <si>
    <t xml:space="preserve">  Chat GPT Responses (based on answer key)</t>
  </si>
  <si>
    <t>correct answers</t>
  </si>
  <si>
    <t>It looks like when GPT finds 1 or 2 out of the 3 matches, it chooses that word.</t>
  </si>
  <si>
    <t>It never says, "I don't know."</t>
  </si>
  <si>
    <t>#</t>
  </si>
  <si>
    <t>Inputs</t>
  </si>
  <si>
    <t>Common Words</t>
  </si>
  <si>
    <t>GPT Guess</t>
  </si>
  <si>
    <t>GPT correct</t>
  </si>
  <si>
    <t>Human % w/ 15 sec</t>
  </si>
  <si>
    <t>PROMPT:</t>
  </si>
  <si>
    <t>produce a common word from each set i give you. for example, swiss/cottage/cake = cheese</t>
  </si>
  <si>
    <t>cottage/swiss/cake</t>
  </si>
  <si>
    <t>cheese</t>
  </si>
  <si>
    <t>n/a</t>
  </si>
  <si>
    <t>Example Given for Free</t>
  </si>
  <si>
    <t xml:space="preserve">amount of 1s </t>
  </si>
  <si>
    <t xml:space="preserve">amount of 0s </t>
  </si>
  <si>
    <t>cream/skate/water</t>
  </si>
  <si>
    <t>ice</t>
  </si>
  <si>
    <t>loser/throat/spot</t>
  </si>
  <si>
    <t>sore</t>
  </si>
  <si>
    <t>show/life/row</t>
  </si>
  <si>
    <t>boat</t>
  </si>
  <si>
    <t>time</t>
  </si>
  <si>
    <t>night/wrist/stop</t>
  </si>
  <si>
    <t>watch</t>
  </si>
  <si>
    <t>duck/fold/dollar</t>
  </si>
  <si>
    <t>bill</t>
  </si>
  <si>
    <t>rocking/wheel/high</t>
  </si>
  <si>
    <t>chair</t>
  </si>
  <si>
    <t>dew/comb/bee</t>
  </si>
  <si>
    <t>honey</t>
  </si>
  <si>
    <t>hive</t>
  </si>
  <si>
    <t>fountain/baking/pop</t>
  </si>
  <si>
    <t>soda</t>
  </si>
  <si>
    <t>preserve/ranger/tropical</t>
  </si>
  <si>
    <t>forest</t>
  </si>
  <si>
    <t>aid/rubber/wagon</t>
  </si>
  <si>
    <t>band</t>
  </si>
  <si>
    <t>flake/mobile/cone</t>
  </si>
  <si>
    <t>snow</t>
  </si>
  <si>
    <t>cracker/fly/fighter</t>
  </si>
  <si>
    <t>fire</t>
  </si>
  <si>
    <t>jack</t>
  </si>
  <si>
    <t>safety/cushion/point</t>
  </si>
  <si>
    <t>pin</t>
  </si>
  <si>
    <t>net</t>
  </si>
  <si>
    <t>cane/daddy/plum</t>
  </si>
  <si>
    <t>sugar</t>
  </si>
  <si>
    <t>dream/break/light</t>
  </si>
  <si>
    <t>day</t>
  </si>
  <si>
    <t>dawn</t>
  </si>
  <si>
    <t>fish/mine/rush</t>
  </si>
  <si>
    <t>gold</t>
  </si>
  <si>
    <t>political/surprise/line</t>
  </si>
  <si>
    <t>party</t>
  </si>
  <si>
    <t>measure/worm/video</t>
  </si>
  <si>
    <t>tape</t>
  </si>
  <si>
    <t>high/district/house</t>
  </si>
  <si>
    <t>school/court</t>
  </si>
  <si>
    <t>school</t>
  </si>
  <si>
    <t>sense/courtesy/place</t>
  </si>
  <si>
    <t>common</t>
  </si>
  <si>
    <t>worm/shelf/end</t>
  </si>
  <si>
    <t>book</t>
  </si>
  <si>
    <t>piece/mind/dating</t>
  </si>
  <si>
    <t>game</t>
  </si>
  <si>
    <t>peace</t>
  </si>
  <si>
    <t>flower/friend/scout</t>
  </si>
  <si>
    <t>girl</t>
  </si>
  <si>
    <t>river/note/account</t>
  </si>
  <si>
    <t>bank</t>
  </si>
  <si>
    <t>print/berry/bird</t>
  </si>
  <si>
    <t>blue</t>
  </si>
  <si>
    <t>stamp</t>
  </si>
  <si>
    <t>pie/luck/belly</t>
  </si>
  <si>
    <t>pot</t>
  </si>
  <si>
    <t>date/alley/fold</t>
  </si>
  <si>
    <t>blind</t>
  </si>
  <si>
    <t>street</t>
  </si>
  <si>
    <t>opera/hand/dish</t>
  </si>
  <si>
    <t>soap</t>
  </si>
  <si>
    <t>glove</t>
  </si>
  <si>
    <t>cadet/capsule/ship</t>
  </si>
  <si>
    <t>space</t>
  </si>
  <si>
    <t>fur/rack/tail</t>
  </si>
  <si>
    <t>coat</t>
  </si>
  <si>
    <t>stick/maker/point</t>
  </si>
  <si>
    <t>match</t>
  </si>
  <si>
    <t>hound/pressure/shot</t>
  </si>
  <si>
    <t>blood</t>
  </si>
  <si>
    <t>gun</t>
  </si>
  <si>
    <t xml:space="preserve">fox/man/peep </t>
  </si>
  <si>
    <t>hole</t>
  </si>
  <si>
    <t>spy</t>
  </si>
  <si>
    <t xml:space="preserve">sleeping/bean/trash </t>
  </si>
  <si>
    <t>bag</t>
  </si>
  <si>
    <t xml:space="preserve">dust/cereal/fish </t>
  </si>
  <si>
    <t>bowl</t>
  </si>
  <si>
    <t xml:space="preserve">light/birthday/stick </t>
  </si>
  <si>
    <t>candle</t>
  </si>
  <si>
    <t xml:space="preserve">food/forward/break </t>
  </si>
  <si>
    <t>fast</t>
  </si>
  <si>
    <t>shine/beam/struck</t>
  </si>
  <si>
    <t>moon</t>
  </si>
  <si>
    <t>light</t>
  </si>
  <si>
    <t>peach/arm/tar</t>
  </si>
  <si>
    <t>pit</t>
  </si>
  <si>
    <t>water/mine/shaker</t>
  </si>
  <si>
    <t>salt</t>
  </si>
  <si>
    <t>well</t>
  </si>
  <si>
    <t>palm/shoe/house</t>
  </si>
  <si>
    <t>tree</t>
  </si>
  <si>
    <t>basket/eight/snow</t>
  </si>
  <si>
    <t>ball</t>
  </si>
  <si>
    <t>wheel/hand/shopping</t>
  </si>
  <si>
    <t>cart</t>
  </si>
  <si>
    <t xml:space="preserve">right/cat/carbon </t>
  </si>
  <si>
    <t>copy</t>
  </si>
  <si>
    <t>black</t>
  </si>
  <si>
    <t>home/sea/bed</t>
  </si>
  <si>
    <t>sick</t>
  </si>
  <si>
    <t>shore</t>
  </si>
  <si>
    <t>nuclear/feud/album</t>
  </si>
  <si>
    <t>family</t>
  </si>
  <si>
    <t>war</t>
  </si>
  <si>
    <t>sandwich/house/golf</t>
  </si>
  <si>
    <t>club</t>
  </si>
  <si>
    <t>cross/rain/tie</t>
  </si>
  <si>
    <t>bow</t>
  </si>
  <si>
    <t>road</t>
  </si>
  <si>
    <t>sage/paint/hair</t>
  </si>
  <si>
    <t>brush</t>
  </si>
  <si>
    <t>french/car/shoe</t>
  </si>
  <si>
    <t>horn</t>
  </si>
  <si>
    <t>sole</t>
  </si>
  <si>
    <t>boot/summer/ground</t>
  </si>
  <si>
    <t>camp</t>
  </si>
  <si>
    <t>chamber/mask/natural</t>
  </si>
  <si>
    <t>gas</t>
  </si>
  <si>
    <t>mill/tooth/dust</t>
  </si>
  <si>
    <t>saw</t>
  </si>
  <si>
    <t>grinder</t>
  </si>
  <si>
    <t>main/sweeper/light</t>
  </si>
  <si>
    <t>pike/coat/signal</t>
  </si>
  <si>
    <t>turn</t>
  </si>
  <si>
    <t>pole</t>
  </si>
  <si>
    <t>office/mail/hat</t>
  </si>
  <si>
    <t>box</t>
  </si>
  <si>
    <t xml:space="preserve">fly/clip/wall </t>
  </si>
  <si>
    <t>paper</t>
  </si>
  <si>
    <t xml:space="preserve">age/mile/sand </t>
  </si>
  <si>
    <t>stone</t>
  </si>
  <si>
    <t>catcher/food/hot</t>
  </si>
  <si>
    <t>dog</t>
  </si>
  <si>
    <t>wagon/break/radio</t>
  </si>
  <si>
    <t>station</t>
  </si>
  <si>
    <t>tank/hill/secret</t>
  </si>
  <si>
    <t>top</t>
  </si>
  <si>
    <t>battle</t>
  </si>
  <si>
    <t>health/taker/less</t>
  </si>
  <si>
    <t>care</t>
  </si>
  <si>
    <t>lift/card/mask</t>
  </si>
  <si>
    <t>face</t>
  </si>
  <si>
    <t>dress/dial/flower</t>
  </si>
  <si>
    <t>sun</t>
  </si>
  <si>
    <t>rose</t>
  </si>
  <si>
    <t>force/line/mail</t>
  </si>
  <si>
    <t>air</t>
  </si>
  <si>
    <t>post</t>
  </si>
  <si>
    <t>guy/rain/down</t>
  </si>
  <si>
    <t>fall</t>
  </si>
  <si>
    <t>pour</t>
  </si>
  <si>
    <t xml:space="preserve">eight/skate/stick </t>
  </si>
  <si>
    <t>figure</t>
  </si>
  <si>
    <t>hockey</t>
  </si>
  <si>
    <t>down/question/check</t>
  </si>
  <si>
    <t>mark</t>
  </si>
  <si>
    <t>answer</t>
  </si>
  <si>
    <t xml:space="preserve">animal/back/rat </t>
  </si>
  <si>
    <t>pack</t>
  </si>
  <si>
    <t>officer/cash/larceny</t>
  </si>
  <si>
    <t>petty</t>
  </si>
  <si>
    <t>pine/crab/sauce</t>
  </si>
  <si>
    <t>apple</t>
  </si>
  <si>
    <t>house/thumb/pepper</t>
  </si>
  <si>
    <t>green</t>
  </si>
  <si>
    <t xml:space="preserve">carpet/alert/ink </t>
  </si>
  <si>
    <t>red</t>
  </si>
  <si>
    <t xml:space="preserve">master/toss/finger </t>
  </si>
  <si>
    <t>ring</t>
  </si>
  <si>
    <t>snap</t>
  </si>
  <si>
    <t xml:space="preserve">hammer/gear/hunter </t>
  </si>
  <si>
    <t>head</t>
  </si>
  <si>
    <t>tool</t>
  </si>
  <si>
    <t xml:space="preserve">knife/light/pal </t>
  </si>
  <si>
    <t>pen</t>
  </si>
  <si>
    <t>sharp</t>
  </si>
  <si>
    <t xml:space="preserve">foul/ground/mate </t>
  </si>
  <si>
    <t>play</t>
  </si>
  <si>
    <t>change/circuit/cake</t>
  </si>
  <si>
    <t>short</t>
  </si>
  <si>
    <t>circuit</t>
  </si>
  <si>
    <t>way/board/sleep</t>
  </si>
  <si>
    <t>walk</t>
  </si>
  <si>
    <t>path</t>
  </si>
  <si>
    <t>blank/list/mate</t>
  </si>
  <si>
    <t>check</t>
  </si>
  <si>
    <t>slate</t>
  </si>
  <si>
    <t xml:space="preserve">tail/water/flood </t>
  </si>
  <si>
    <t>gate</t>
  </si>
  <si>
    <t>river</t>
  </si>
  <si>
    <t>marshal/child/piano</t>
  </si>
  <si>
    <t>grand</t>
  </si>
  <si>
    <t>drum</t>
  </si>
  <si>
    <t xml:space="preserve">cover/arm/wear </t>
  </si>
  <si>
    <t>under</t>
  </si>
  <si>
    <t xml:space="preserve">rain/test/stomach </t>
  </si>
  <si>
    <t>acid</t>
  </si>
  <si>
    <t xml:space="preserve">time/blown/nelson </t>
  </si>
  <si>
    <t>full</t>
  </si>
  <si>
    <t>wind</t>
  </si>
  <si>
    <t xml:space="preserve">pile/market/room </t>
  </si>
  <si>
    <t>stock</t>
  </si>
  <si>
    <t xml:space="preserve">mouse/bear/sand </t>
  </si>
  <si>
    <t>trap</t>
  </si>
  <si>
    <t xml:space="preserve">cat/number/phone </t>
  </si>
  <si>
    <t>call</t>
  </si>
  <si>
    <t xml:space="preserve">keg/puff/room </t>
  </si>
  <si>
    <t>powder</t>
  </si>
  <si>
    <t>smoke</t>
  </si>
  <si>
    <t xml:space="preserve">trip/house/goal </t>
  </si>
  <si>
    <t>field</t>
  </si>
  <si>
    <t>score</t>
  </si>
  <si>
    <t xml:space="preserve">fork/dark/man </t>
  </si>
  <si>
    <t>pitch</t>
  </si>
  <si>
    <t xml:space="preserve">fence/card/master </t>
  </si>
  <si>
    <t xml:space="preserve">test/runner/map </t>
  </si>
  <si>
    <t>race</t>
  </si>
  <si>
    <t>dive/light/ rocket</t>
  </si>
  <si>
    <t>sky</t>
  </si>
  <si>
    <t xml:space="preserve">man/glue/star </t>
  </si>
  <si>
    <t>super</t>
  </si>
  <si>
    <t>stick</t>
  </si>
  <si>
    <t xml:space="preserve">tooth/potato/heart </t>
  </si>
  <si>
    <t>sweet</t>
  </si>
  <si>
    <t>chip</t>
  </si>
  <si>
    <t>illness/bus/computer</t>
  </si>
  <si>
    <t>terminal</t>
  </si>
  <si>
    <t>crash</t>
  </si>
  <si>
    <t xml:space="preserve">type/ghost/screen </t>
  </si>
  <si>
    <t>writer</t>
  </si>
  <si>
    <t>film</t>
  </si>
  <si>
    <t xml:space="preserve">mail/board/lung </t>
  </si>
  <si>
    <t xml:space="preserve">teeth/arrest/start </t>
  </si>
  <si>
    <t xml:space="preserve">false </t>
  </si>
  <si>
    <t>charge</t>
  </si>
  <si>
    <t xml:space="preserve">iron/shovel/engine </t>
  </si>
  <si>
    <t>steam</t>
  </si>
  <si>
    <t>steel</t>
  </si>
  <si>
    <t xml:space="preserve">wet/law/business </t>
  </si>
  <si>
    <t>suit</t>
  </si>
  <si>
    <t>work</t>
  </si>
  <si>
    <t>rope/truck/line</t>
  </si>
  <si>
    <t>tow</t>
  </si>
  <si>
    <t xml:space="preserve">off/military/first </t>
  </si>
  <si>
    <t>base</t>
  </si>
  <si>
    <t>aid</t>
  </si>
  <si>
    <t xml:space="preserve">spoon/cloth/card </t>
  </si>
  <si>
    <t>table</t>
  </si>
  <si>
    <t>napkin</t>
  </si>
  <si>
    <t xml:space="preserve">cut/cream/war </t>
  </si>
  <si>
    <t>cold</t>
  </si>
  <si>
    <t xml:space="preserve">note/chain/master </t>
  </si>
  <si>
    <t>key</t>
  </si>
  <si>
    <t xml:space="preserve">shock/shave/taste </t>
  </si>
  <si>
    <t>after</t>
  </si>
  <si>
    <t>shock</t>
  </si>
  <si>
    <t xml:space="preserve">wise/work/tower </t>
  </si>
  <si>
    <t>clock</t>
  </si>
  <si>
    <t>power</t>
  </si>
  <si>
    <t xml:space="preserve">grass/king/meat </t>
  </si>
  <si>
    <t>crab</t>
  </si>
  <si>
    <t>beef</t>
  </si>
  <si>
    <t xml:space="preserve">baby/spring/cap </t>
  </si>
  <si>
    <t>shower</t>
  </si>
  <si>
    <t>bottle</t>
  </si>
  <si>
    <t xml:space="preserve">break/bean/cake </t>
  </si>
  <si>
    <t>coffee</t>
  </si>
  <si>
    <t xml:space="preserve">cry/front/ship </t>
  </si>
  <si>
    <t xml:space="preserve">hold/print/stool </t>
  </si>
  <si>
    <t>foot</t>
  </si>
  <si>
    <t>seat</t>
  </si>
  <si>
    <t xml:space="preserve">roll/bean/fish </t>
  </si>
  <si>
    <t>jelly</t>
  </si>
  <si>
    <t>tuna</t>
  </si>
  <si>
    <t>horse/human/drag</t>
  </si>
  <si>
    <t xml:space="preserve">oil/bar/tuna </t>
  </si>
  <si>
    <t>salad</t>
  </si>
  <si>
    <t>fish</t>
  </si>
  <si>
    <t>bottom/curve/hop</t>
  </si>
  <si>
    <t>bell</t>
  </si>
  <si>
    <t xml:space="preserve">tomato/bomb/picker </t>
  </si>
  <si>
    <t>cherry</t>
  </si>
  <si>
    <t xml:space="preserve">pea/shell/chest </t>
  </si>
  <si>
    <t>nut</t>
  </si>
  <si>
    <t>pod</t>
  </si>
  <si>
    <t xml:space="preserve">line/fruit/drunk </t>
  </si>
  <si>
    <t>punch</t>
  </si>
  <si>
    <t xml:space="preserve">bump/egg/step </t>
  </si>
  <si>
    <t>goose</t>
  </si>
  <si>
    <t>knee</t>
  </si>
  <si>
    <t xml:space="preserve">fight/control/machine </t>
  </si>
  <si>
    <t xml:space="preserve">home/arm/room </t>
  </si>
  <si>
    <t>rest</t>
  </si>
  <si>
    <t>house</t>
  </si>
  <si>
    <t xml:space="preserve">child/scan/wash </t>
  </si>
  <si>
    <t>brain</t>
  </si>
  <si>
    <t>scan</t>
  </si>
  <si>
    <t xml:space="preserve">nose/stone/bear </t>
  </si>
  <si>
    <t>brown</t>
  </si>
  <si>
    <t>cave</t>
  </si>
  <si>
    <t xml:space="preserve">end/line/lock </t>
  </si>
  <si>
    <t>dead</t>
  </si>
  <si>
    <t xml:space="preserve">control/place/rate </t>
  </si>
  <si>
    <t>birth</t>
  </si>
  <si>
    <t xml:space="preserve">lounge/hour/napkin </t>
  </si>
  <si>
    <t>cocktail</t>
  </si>
  <si>
    <t>break</t>
  </si>
  <si>
    <t xml:space="preserve">artist/hatch/route </t>
  </si>
  <si>
    <t>escape</t>
  </si>
  <si>
    <t>draw</t>
  </si>
  <si>
    <t xml:space="preserve">pet/bottom/garden </t>
  </si>
  <si>
    <t>rock</t>
  </si>
  <si>
    <t xml:space="preserve">mate/shoes/total </t>
  </si>
  <si>
    <t>running</t>
  </si>
  <si>
    <t>pair</t>
  </si>
  <si>
    <t xml:space="preserve">self/attorney/spending </t>
  </si>
  <si>
    <t>defense</t>
  </si>
  <si>
    <t xml:space="preserve">board/blade/back </t>
  </si>
  <si>
    <t>switch</t>
  </si>
  <si>
    <t>skate</t>
  </si>
  <si>
    <t xml:space="preserve">land/hand/house </t>
  </si>
  <si>
    <t>farm</t>
  </si>
  <si>
    <t>palm</t>
  </si>
  <si>
    <t xml:space="preserve">hungry/order/belt </t>
  </si>
  <si>
    <t>money</t>
  </si>
  <si>
    <t>sandwich</t>
  </si>
  <si>
    <t xml:space="preserve">forward/flush/razor </t>
  </si>
  <si>
    <t>straight</t>
  </si>
  <si>
    <t>card</t>
  </si>
  <si>
    <t xml:space="preserve">shadow/chart/drop </t>
  </si>
  <si>
    <t>eye</t>
  </si>
  <si>
    <t xml:space="preserve">way/ground/weather </t>
  </si>
  <si>
    <t>fair</t>
  </si>
  <si>
    <t>storm</t>
  </si>
  <si>
    <t xml:space="preserve">cast/side/jump </t>
  </si>
  <si>
    <t>broad</t>
  </si>
  <si>
    <t>rope</t>
  </si>
  <si>
    <t>back/step/screen</t>
  </si>
  <si>
    <t>door</t>
  </si>
  <si>
    <t>step</t>
  </si>
  <si>
    <t xml:space="preserve">reading/service/stick </t>
  </si>
  <si>
    <t>lip</t>
  </si>
  <si>
    <t>over/plant/horse</t>
  </si>
  <si>
    <t>GPT</t>
  </si>
  <si>
    <t>HUMAN</t>
  </si>
  <si>
    <t>Logit</t>
  </si>
  <si>
    <t>eLogit</t>
  </si>
  <si>
    <t>Probability</t>
  </si>
  <si>
    <t>Log Likelihood</t>
  </si>
  <si>
    <t>This is initial steps in setting up a data frame for doing</t>
  </si>
  <si>
    <t>a binary logistic regression of human% predicting GPT's 0s and 1s.</t>
  </si>
  <si>
    <t>It will need to have Solver installed...</t>
  </si>
  <si>
    <t>See Logistic Regression Using Excel Solver Youtube by Linda Williams.</t>
  </si>
  <si>
    <t>OR just figure out how to do one in python or R...</t>
  </si>
  <si>
    <t>b0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</si>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</sst>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sz val="10"/>
      <color rgb="FF000000"/>
      <name val="Aptos Narrow"/>
      <scheme val="minor"/>
    </font>
    <font>
      <sz val="10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topLeftCell="A124" workbookViewId="0">
      <selection activeCell="G148" sqref="G148"/>
    </sheetView>
  </sheetViews>
  <sheetFormatPr defaultRowHeight="15"/>
  <cols>
    <col min="1" max="1" width="36.7109375" style="1" customWidth="1"/>
    <col min="2" max="2" width="27.42578125" style="1" customWidth="1"/>
    <col min="3" max="3" width="18.5703125" style="1" customWidth="1"/>
    <col min="4" max="4" width="10.42578125" style="1" customWidth="1"/>
    <col min="5" max="6" width="9.140625" style="1"/>
    <col min="7" max="7" width="12.5703125" style="1" customWidth="1"/>
    <col min="8" max="9" width="9.140625" style="1"/>
    <col min="10" max="10" width="17.28515625" style="1" customWidth="1"/>
    <col min="11" max="11" width="18.28515625" style="1" customWidth="1"/>
    <col min="12" max="16384" width="9.140625" style="1"/>
  </cols>
  <sheetData>
    <row r="1" spans="1:12" ht="57.75">
      <c r="A1" s="1" t="s">
        <v>0</v>
      </c>
      <c r="C1" s="3" t="s">
        <v>1</v>
      </c>
      <c r="K1" s="1" t="s">
        <v>2</v>
      </c>
      <c r="L1" s="1" t="s">
        <v>3</v>
      </c>
    </row>
    <row r="2" spans="1:12" ht="29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6" t="s">
        <v>9</v>
      </c>
      <c r="I2" s="1" t="s">
        <v>10</v>
      </c>
      <c r="J2" s="4" t="s">
        <v>11</v>
      </c>
    </row>
    <row r="3" spans="1:12" ht="43.5">
      <c r="A3" s="1">
        <v>1</v>
      </c>
      <c r="B3" s="2" t="s">
        <v>12</v>
      </c>
      <c r="C3" s="1" t="s">
        <v>13</v>
      </c>
      <c r="D3" s="2" t="s">
        <v>13</v>
      </c>
      <c r="E3" s="1" t="s">
        <v>14</v>
      </c>
      <c r="F3" s="1" t="s">
        <v>15</v>
      </c>
      <c r="G3" s="5">
        <v>96</v>
      </c>
      <c r="J3" s="1" t="s">
        <v>16</v>
      </c>
      <c r="K3" s="1" t="s">
        <v>17</v>
      </c>
    </row>
    <row r="4" spans="1:12">
      <c r="A4" s="1">
        <v>2</v>
      </c>
      <c r="B4" s="2" t="s">
        <v>18</v>
      </c>
      <c r="C4" s="1" t="s">
        <v>19</v>
      </c>
      <c r="D4" s="2" t="s">
        <v>19</v>
      </c>
      <c r="E4" s="1">
        <v>1</v>
      </c>
      <c r="G4" s="2">
        <v>92</v>
      </c>
      <c r="J4" s="1">
        <v>53</v>
      </c>
      <c r="K4" s="1">
        <v>90</v>
      </c>
    </row>
    <row r="5" spans="1:12">
      <c r="A5" s="1">
        <v>3</v>
      </c>
      <c r="B5" s="2" t="s">
        <v>20</v>
      </c>
      <c r="C5" s="1" t="s">
        <v>21</v>
      </c>
      <c r="D5" s="2" t="s">
        <v>21</v>
      </c>
      <c r="E5" s="1">
        <v>1</v>
      </c>
      <c r="G5" s="2">
        <v>86</v>
      </c>
    </row>
    <row r="6" spans="1:12">
      <c r="A6" s="1">
        <v>4</v>
      </c>
      <c r="B6" s="2" t="s">
        <v>22</v>
      </c>
      <c r="C6" s="1" t="s">
        <v>23</v>
      </c>
      <c r="D6" s="2" t="s">
        <v>24</v>
      </c>
      <c r="E6" s="1">
        <v>0</v>
      </c>
      <c r="G6" s="2">
        <v>82</v>
      </c>
    </row>
    <row r="7" spans="1:12">
      <c r="A7" s="1">
        <v>5</v>
      </c>
      <c r="B7" s="2" t="s">
        <v>25</v>
      </c>
      <c r="C7" s="1" t="s">
        <v>26</v>
      </c>
      <c r="D7" s="2" t="s">
        <v>26</v>
      </c>
      <c r="E7" s="1">
        <v>1</v>
      </c>
      <c r="G7" s="2">
        <v>82</v>
      </c>
    </row>
    <row r="8" spans="1:12">
      <c r="A8" s="1">
        <v>6</v>
      </c>
      <c r="B8" s="2" t="s">
        <v>27</v>
      </c>
      <c r="C8" s="1" t="s">
        <v>28</v>
      </c>
      <c r="D8" s="2" t="s">
        <v>28</v>
      </c>
      <c r="E8" s="1">
        <v>1</v>
      </c>
      <c r="G8" s="2">
        <v>80</v>
      </c>
    </row>
    <row r="9" spans="1:12">
      <c r="A9" s="1">
        <v>7</v>
      </c>
      <c r="B9" s="2" t="s">
        <v>29</v>
      </c>
      <c r="C9" s="1" t="s">
        <v>30</v>
      </c>
      <c r="D9" s="2" t="s">
        <v>30</v>
      </c>
      <c r="E9" s="1">
        <v>1</v>
      </c>
      <c r="G9" s="2">
        <v>80</v>
      </c>
    </row>
    <row r="10" spans="1:12">
      <c r="A10" s="1">
        <v>8</v>
      </c>
      <c r="B10" s="2" t="s">
        <v>31</v>
      </c>
      <c r="C10" s="1" t="s">
        <v>32</v>
      </c>
      <c r="D10" s="2" t="s">
        <v>33</v>
      </c>
      <c r="E10" s="1">
        <v>1</v>
      </c>
      <c r="G10" s="2">
        <v>80</v>
      </c>
    </row>
    <row r="11" spans="1:12">
      <c r="A11" s="1">
        <v>9</v>
      </c>
      <c r="B11" s="2" t="s">
        <v>34</v>
      </c>
      <c r="C11" s="1" t="s">
        <v>35</v>
      </c>
      <c r="D11" s="2" t="s">
        <v>35</v>
      </c>
      <c r="E11" s="1">
        <v>1</v>
      </c>
      <c r="G11" s="2">
        <v>78</v>
      </c>
    </row>
    <row r="12" spans="1:12">
      <c r="A12" s="1">
        <v>10</v>
      </c>
      <c r="B12" s="2" t="s">
        <v>36</v>
      </c>
      <c r="C12" s="1" t="s">
        <v>37</v>
      </c>
      <c r="D12" s="2" t="s">
        <v>37</v>
      </c>
      <c r="E12" s="1">
        <v>1</v>
      </c>
      <c r="G12" s="2">
        <v>76</v>
      </c>
    </row>
    <row r="13" spans="1:12">
      <c r="A13" s="1">
        <v>11</v>
      </c>
      <c r="B13" s="2" t="s">
        <v>38</v>
      </c>
      <c r="C13" s="1" t="s">
        <v>39</v>
      </c>
      <c r="D13" s="2" t="s">
        <v>39</v>
      </c>
      <c r="E13" s="1">
        <v>1</v>
      </c>
      <c r="G13" s="2">
        <v>75</v>
      </c>
    </row>
    <row r="14" spans="1:12">
      <c r="A14" s="1">
        <v>12</v>
      </c>
      <c r="B14" s="2" t="s">
        <v>40</v>
      </c>
      <c r="C14" s="1" t="s">
        <v>41</v>
      </c>
      <c r="D14" s="2" t="s">
        <v>41</v>
      </c>
      <c r="E14" s="1">
        <v>1</v>
      </c>
      <c r="G14" s="2">
        <v>71</v>
      </c>
    </row>
    <row r="15" spans="1:12">
      <c r="A15" s="1">
        <v>13</v>
      </c>
      <c r="B15" s="2" t="s">
        <v>42</v>
      </c>
      <c r="C15" s="1" t="s">
        <v>43</v>
      </c>
      <c r="D15" s="2" t="s">
        <v>44</v>
      </c>
      <c r="E15" s="1">
        <v>0</v>
      </c>
      <c r="G15" s="2">
        <v>68</v>
      </c>
    </row>
    <row r="16" spans="1:12">
      <c r="A16" s="1">
        <v>14</v>
      </c>
      <c r="B16" s="2" t="s">
        <v>45</v>
      </c>
      <c r="C16" s="1" t="s">
        <v>46</v>
      </c>
      <c r="D16" s="2" t="s">
        <v>47</v>
      </c>
      <c r="E16" s="1">
        <v>0</v>
      </c>
      <c r="G16" s="2">
        <v>66</v>
      </c>
    </row>
    <row r="17" spans="1:7">
      <c r="A17" s="1">
        <v>15</v>
      </c>
      <c r="B17" s="2" t="s">
        <v>48</v>
      </c>
      <c r="C17" s="1" t="s">
        <v>49</v>
      </c>
      <c r="D17" s="2" t="s">
        <v>49</v>
      </c>
      <c r="E17" s="1">
        <v>1</v>
      </c>
      <c r="G17" s="2">
        <v>66</v>
      </c>
    </row>
    <row r="18" spans="1:7">
      <c r="A18" s="1">
        <v>16</v>
      </c>
      <c r="B18" s="2" t="s">
        <v>50</v>
      </c>
      <c r="C18" s="1" t="s">
        <v>51</v>
      </c>
      <c r="D18" s="2" t="s">
        <v>52</v>
      </c>
      <c r="E18" s="1">
        <v>0</v>
      </c>
      <c r="G18" s="2">
        <v>64</v>
      </c>
    </row>
    <row r="19" spans="1:7">
      <c r="A19" s="1">
        <v>17</v>
      </c>
      <c r="B19" s="2" t="s">
        <v>53</v>
      </c>
      <c r="C19" s="1" t="s">
        <v>54</v>
      </c>
      <c r="D19" s="2" t="s">
        <v>54</v>
      </c>
      <c r="E19" s="1">
        <v>1</v>
      </c>
      <c r="G19" s="2">
        <v>63</v>
      </c>
    </row>
    <row r="20" spans="1:7">
      <c r="A20" s="1">
        <v>18</v>
      </c>
      <c r="B20" s="2" t="s">
        <v>55</v>
      </c>
      <c r="C20" s="1" t="s">
        <v>56</v>
      </c>
      <c r="D20" s="2" t="s">
        <v>56</v>
      </c>
      <c r="E20" s="1">
        <v>1</v>
      </c>
      <c r="G20" s="2">
        <v>61</v>
      </c>
    </row>
    <row r="21" spans="1:7">
      <c r="A21" s="1">
        <v>19</v>
      </c>
      <c r="B21" s="2" t="s">
        <v>57</v>
      </c>
      <c r="C21" s="1" t="s">
        <v>58</v>
      </c>
      <c r="D21" s="2" t="s">
        <v>58</v>
      </c>
      <c r="E21" s="1">
        <v>1</v>
      </c>
      <c r="G21" s="2">
        <v>58</v>
      </c>
    </row>
    <row r="22" spans="1:7">
      <c r="A22" s="1">
        <v>20</v>
      </c>
      <c r="B22" s="2" t="s">
        <v>59</v>
      </c>
      <c r="C22" s="1" t="s">
        <v>60</v>
      </c>
      <c r="D22" s="2" t="s">
        <v>61</v>
      </c>
      <c r="E22" s="1">
        <v>1</v>
      </c>
      <c r="G22" s="2">
        <v>55</v>
      </c>
    </row>
    <row r="23" spans="1:7">
      <c r="A23" s="1">
        <v>21</v>
      </c>
      <c r="B23" s="2" t="s">
        <v>62</v>
      </c>
      <c r="C23" s="1" t="s">
        <v>63</v>
      </c>
      <c r="D23" s="2" t="s">
        <v>63</v>
      </c>
      <c r="E23" s="1">
        <v>0</v>
      </c>
      <c r="G23" s="2">
        <v>54</v>
      </c>
    </row>
    <row r="24" spans="1:7">
      <c r="A24" s="1">
        <v>22</v>
      </c>
      <c r="B24" s="2" t="s">
        <v>64</v>
      </c>
      <c r="C24" s="1" t="s">
        <v>65</v>
      </c>
      <c r="D24" s="2" t="s">
        <v>65</v>
      </c>
      <c r="E24" s="1">
        <v>0</v>
      </c>
      <c r="G24" s="2">
        <v>53</v>
      </c>
    </row>
    <row r="25" spans="1:7">
      <c r="A25" s="1">
        <v>23</v>
      </c>
      <c r="B25" s="2" t="s">
        <v>66</v>
      </c>
      <c r="C25" s="1" t="s">
        <v>67</v>
      </c>
      <c r="D25" s="2" t="s">
        <v>68</v>
      </c>
      <c r="E25" s="1">
        <v>1</v>
      </c>
      <c r="G25" s="2">
        <v>53</v>
      </c>
    </row>
    <row r="26" spans="1:7">
      <c r="A26" s="1">
        <v>24</v>
      </c>
      <c r="B26" s="2" t="s">
        <v>69</v>
      </c>
      <c r="C26" s="1" t="s">
        <v>70</v>
      </c>
      <c r="D26" s="2" t="s">
        <v>70</v>
      </c>
      <c r="E26" s="1">
        <v>1</v>
      </c>
      <c r="G26" s="2">
        <v>51</v>
      </c>
    </row>
    <row r="27" spans="1:7">
      <c r="A27" s="1">
        <v>25</v>
      </c>
      <c r="B27" s="2" t="s">
        <v>71</v>
      </c>
      <c r="C27" s="1" t="s">
        <v>72</v>
      </c>
      <c r="D27" s="2" t="s">
        <v>72</v>
      </c>
      <c r="E27" s="1">
        <v>0</v>
      </c>
      <c r="G27" s="2">
        <v>50</v>
      </c>
    </row>
    <row r="28" spans="1:7">
      <c r="A28" s="1">
        <v>26</v>
      </c>
      <c r="B28" s="2" t="s">
        <v>73</v>
      </c>
      <c r="C28" s="1" t="s">
        <v>74</v>
      </c>
      <c r="D28" s="2" t="s">
        <v>75</v>
      </c>
      <c r="E28" s="1">
        <v>1</v>
      </c>
      <c r="G28" s="2">
        <v>49</v>
      </c>
    </row>
    <row r="29" spans="1:7">
      <c r="A29" s="1">
        <v>27</v>
      </c>
      <c r="B29" s="2" t="s">
        <v>76</v>
      </c>
      <c r="C29" s="1" t="s">
        <v>77</v>
      </c>
      <c r="D29" s="2" t="s">
        <v>77</v>
      </c>
      <c r="E29" s="1">
        <v>1</v>
      </c>
      <c r="G29" s="2">
        <v>49</v>
      </c>
    </row>
    <row r="30" spans="1:7">
      <c r="A30" s="1">
        <v>28</v>
      </c>
      <c r="B30" s="2" t="s">
        <v>78</v>
      </c>
      <c r="C30" s="1" t="s">
        <v>79</v>
      </c>
      <c r="D30" s="2" t="s">
        <v>80</v>
      </c>
      <c r="E30" s="1">
        <v>0</v>
      </c>
      <c r="G30" s="2">
        <v>47</v>
      </c>
    </row>
    <row r="31" spans="1:7">
      <c r="A31" s="1">
        <v>29</v>
      </c>
      <c r="B31" s="2" t="s">
        <v>81</v>
      </c>
      <c r="C31" s="1" t="s">
        <v>82</v>
      </c>
      <c r="D31" s="2" t="s">
        <v>83</v>
      </c>
      <c r="E31" s="1">
        <v>0</v>
      </c>
      <c r="G31" s="2">
        <v>47</v>
      </c>
    </row>
    <row r="32" spans="1:7">
      <c r="A32" s="1">
        <v>30</v>
      </c>
      <c r="B32" s="2" t="s">
        <v>84</v>
      </c>
      <c r="C32" s="1" t="s">
        <v>85</v>
      </c>
      <c r="D32" s="2" t="s">
        <v>85</v>
      </c>
      <c r="E32" s="1">
        <v>1</v>
      </c>
      <c r="G32" s="2">
        <v>47</v>
      </c>
    </row>
    <row r="33" spans="1:7">
      <c r="A33" s="1">
        <v>31</v>
      </c>
      <c r="B33" s="2" t="s">
        <v>86</v>
      </c>
      <c r="C33" s="1" t="s">
        <v>87</v>
      </c>
      <c r="D33" s="2" t="s">
        <v>87</v>
      </c>
      <c r="E33" s="1">
        <v>1</v>
      </c>
      <c r="G33" s="2">
        <v>46</v>
      </c>
    </row>
    <row r="34" spans="1:7">
      <c r="A34" s="1">
        <v>32</v>
      </c>
      <c r="B34" s="2" t="s">
        <v>88</v>
      </c>
      <c r="C34" s="1" t="s">
        <v>89</v>
      </c>
      <c r="D34" s="2" t="s">
        <v>89</v>
      </c>
      <c r="E34" s="1">
        <v>0</v>
      </c>
      <c r="G34" s="2">
        <v>46</v>
      </c>
    </row>
    <row r="35" spans="1:7">
      <c r="A35" s="1">
        <v>33</v>
      </c>
      <c r="B35" s="2" t="s">
        <v>90</v>
      </c>
      <c r="C35" s="1" t="s">
        <v>91</v>
      </c>
      <c r="D35" s="2" t="s">
        <v>92</v>
      </c>
      <c r="E35" s="1">
        <v>0</v>
      </c>
      <c r="G35" s="2">
        <v>42</v>
      </c>
    </row>
    <row r="36" spans="1:7">
      <c r="A36" s="1">
        <v>34</v>
      </c>
      <c r="B36" s="2" t="s">
        <v>93</v>
      </c>
      <c r="C36" s="1" t="s">
        <v>94</v>
      </c>
      <c r="D36" s="2" t="s">
        <v>95</v>
      </c>
      <c r="E36" s="1">
        <v>0</v>
      </c>
      <c r="G36" s="2">
        <v>42</v>
      </c>
    </row>
    <row r="37" spans="1:7">
      <c r="A37" s="1">
        <v>35</v>
      </c>
      <c r="B37" s="2" t="s">
        <v>96</v>
      </c>
      <c r="C37" s="1" t="s">
        <v>97</v>
      </c>
      <c r="D37" s="2" t="s">
        <v>97</v>
      </c>
      <c r="E37" s="1">
        <v>1</v>
      </c>
      <c r="G37" s="2">
        <v>41</v>
      </c>
    </row>
    <row r="38" spans="1:7">
      <c r="A38" s="1">
        <v>36</v>
      </c>
      <c r="B38" s="2" t="s">
        <v>98</v>
      </c>
      <c r="C38" s="1" t="s">
        <v>99</v>
      </c>
      <c r="D38" s="2" t="s">
        <v>99</v>
      </c>
      <c r="E38" s="1">
        <v>1</v>
      </c>
      <c r="G38" s="2">
        <v>41</v>
      </c>
    </row>
    <row r="39" spans="1:7">
      <c r="A39" s="1">
        <v>37</v>
      </c>
      <c r="B39" s="2" t="s">
        <v>100</v>
      </c>
      <c r="C39" s="1" t="s">
        <v>101</v>
      </c>
      <c r="D39" s="2" t="s">
        <v>101</v>
      </c>
      <c r="E39" s="1">
        <v>1</v>
      </c>
      <c r="G39" s="2">
        <v>41</v>
      </c>
    </row>
    <row r="40" spans="1:7">
      <c r="A40" s="1">
        <v>38</v>
      </c>
      <c r="B40" s="2" t="s">
        <v>102</v>
      </c>
      <c r="C40" s="1" t="s">
        <v>103</v>
      </c>
      <c r="D40" s="2" t="s">
        <v>103</v>
      </c>
      <c r="E40" s="1">
        <v>1</v>
      </c>
      <c r="G40" s="2">
        <v>41</v>
      </c>
    </row>
    <row r="41" spans="1:7">
      <c r="A41" s="1">
        <v>39</v>
      </c>
      <c r="B41" s="2" t="s">
        <v>104</v>
      </c>
      <c r="C41" s="1" t="s">
        <v>105</v>
      </c>
      <c r="D41" s="2" t="s">
        <v>106</v>
      </c>
      <c r="E41" s="1">
        <v>0</v>
      </c>
      <c r="G41" s="2">
        <v>41</v>
      </c>
    </row>
    <row r="42" spans="1:7">
      <c r="A42" s="1">
        <v>40</v>
      </c>
      <c r="B42" s="2" t="s">
        <v>107</v>
      </c>
      <c r="C42" s="1" t="s">
        <v>108</v>
      </c>
      <c r="D42" s="2" t="s">
        <v>108</v>
      </c>
      <c r="E42" s="1">
        <v>1</v>
      </c>
      <c r="G42" s="2">
        <v>41</v>
      </c>
    </row>
    <row r="43" spans="1:7">
      <c r="A43" s="1">
        <v>41</v>
      </c>
      <c r="B43" s="2" t="s">
        <v>109</v>
      </c>
      <c r="C43" s="1" t="s">
        <v>110</v>
      </c>
      <c r="D43" s="2" t="s">
        <v>111</v>
      </c>
      <c r="E43" s="1">
        <v>0</v>
      </c>
      <c r="G43" s="2">
        <v>41</v>
      </c>
    </row>
    <row r="44" spans="1:7">
      <c r="A44" s="1">
        <v>42</v>
      </c>
      <c r="B44" s="2" t="s">
        <v>112</v>
      </c>
      <c r="C44" s="1" t="s">
        <v>113</v>
      </c>
      <c r="D44" s="2" t="s">
        <v>113</v>
      </c>
      <c r="E44" s="1">
        <v>1</v>
      </c>
      <c r="G44" s="2">
        <v>41</v>
      </c>
    </row>
    <row r="45" spans="1:7">
      <c r="A45" s="1">
        <v>43</v>
      </c>
      <c r="B45" s="2" t="s">
        <v>114</v>
      </c>
      <c r="C45" s="1" t="s">
        <v>115</v>
      </c>
      <c r="D45" s="2" t="s">
        <v>115</v>
      </c>
      <c r="E45" s="1">
        <v>1</v>
      </c>
      <c r="G45" s="2">
        <v>39</v>
      </c>
    </row>
    <row r="46" spans="1:7">
      <c r="A46" s="1">
        <v>44</v>
      </c>
      <c r="B46" s="2" t="s">
        <v>116</v>
      </c>
      <c r="C46" s="1" t="s">
        <v>117</v>
      </c>
      <c r="D46" s="2" t="s">
        <v>117</v>
      </c>
      <c r="E46" s="1">
        <v>1</v>
      </c>
      <c r="G46" s="2">
        <v>39</v>
      </c>
    </row>
    <row r="47" spans="1:7">
      <c r="A47" s="1">
        <v>45</v>
      </c>
      <c r="B47" s="2" t="s">
        <v>118</v>
      </c>
      <c r="C47" s="1" t="s">
        <v>119</v>
      </c>
      <c r="D47" s="2" t="s">
        <v>120</v>
      </c>
      <c r="E47" s="1">
        <v>0</v>
      </c>
      <c r="G47" s="2">
        <v>39</v>
      </c>
    </row>
    <row r="48" spans="1:7">
      <c r="A48" s="1">
        <v>46</v>
      </c>
      <c r="B48" s="2" t="s">
        <v>121</v>
      </c>
      <c r="C48" s="1" t="s">
        <v>122</v>
      </c>
      <c r="D48" s="2" t="s">
        <v>123</v>
      </c>
      <c r="E48" s="1">
        <v>0</v>
      </c>
      <c r="G48" s="2">
        <v>38</v>
      </c>
    </row>
    <row r="49" spans="1:7">
      <c r="A49" s="1">
        <v>47</v>
      </c>
      <c r="B49" s="2" t="s">
        <v>124</v>
      </c>
      <c r="C49" s="1" t="s">
        <v>125</v>
      </c>
      <c r="D49" s="2" t="s">
        <v>126</v>
      </c>
      <c r="E49" s="1">
        <v>0</v>
      </c>
      <c r="G49" s="2">
        <v>37</v>
      </c>
    </row>
    <row r="50" spans="1:7">
      <c r="A50" s="1">
        <v>48</v>
      </c>
      <c r="B50" s="2" t="s">
        <v>127</v>
      </c>
      <c r="C50" s="1" t="s">
        <v>128</v>
      </c>
      <c r="D50" s="2" t="s">
        <v>128</v>
      </c>
      <c r="E50" s="1">
        <v>1</v>
      </c>
      <c r="G50" s="2">
        <v>36</v>
      </c>
    </row>
    <row r="51" spans="1:7">
      <c r="A51" s="1">
        <v>49</v>
      </c>
      <c r="B51" s="2" t="s">
        <v>129</v>
      </c>
      <c r="C51" s="1" t="s">
        <v>130</v>
      </c>
      <c r="D51" s="2" t="s">
        <v>131</v>
      </c>
      <c r="E51" s="1">
        <v>0</v>
      </c>
      <c r="G51" s="2">
        <v>34</v>
      </c>
    </row>
    <row r="52" spans="1:7">
      <c r="A52" s="1">
        <v>50</v>
      </c>
      <c r="B52" s="2" t="s">
        <v>132</v>
      </c>
      <c r="C52" s="1" t="s">
        <v>133</v>
      </c>
      <c r="D52" s="2" t="s">
        <v>133</v>
      </c>
      <c r="E52" s="1">
        <v>1</v>
      </c>
      <c r="G52" s="2">
        <v>34</v>
      </c>
    </row>
    <row r="53" spans="1:7">
      <c r="A53" s="1">
        <v>51</v>
      </c>
      <c r="B53" s="2" t="s">
        <v>134</v>
      </c>
      <c r="C53" s="1" t="s">
        <v>135</v>
      </c>
      <c r="D53" s="2" t="s">
        <v>136</v>
      </c>
      <c r="E53" s="1">
        <v>0</v>
      </c>
      <c r="G53" s="2">
        <v>34</v>
      </c>
    </row>
    <row r="54" spans="1:7">
      <c r="A54" s="1">
        <v>52</v>
      </c>
      <c r="B54" s="2" t="s">
        <v>137</v>
      </c>
      <c r="C54" s="1" t="s">
        <v>138</v>
      </c>
      <c r="D54" s="2" t="s">
        <v>138</v>
      </c>
      <c r="E54" s="1">
        <v>1</v>
      </c>
      <c r="G54" s="2">
        <v>33</v>
      </c>
    </row>
    <row r="55" spans="1:7">
      <c r="A55" s="1">
        <v>53</v>
      </c>
      <c r="B55" s="2" t="s">
        <v>139</v>
      </c>
      <c r="C55" s="1" t="s">
        <v>140</v>
      </c>
      <c r="D55" s="2" t="s">
        <v>140</v>
      </c>
      <c r="E55" s="1">
        <v>1</v>
      </c>
      <c r="G55" s="2">
        <v>33</v>
      </c>
    </row>
    <row r="56" spans="1:7">
      <c r="A56" s="1">
        <v>54</v>
      </c>
      <c r="B56" s="2" t="s">
        <v>141</v>
      </c>
      <c r="C56" s="1" t="s">
        <v>142</v>
      </c>
      <c r="D56" s="2" t="s">
        <v>143</v>
      </c>
      <c r="E56" s="1">
        <v>0</v>
      </c>
      <c r="G56" s="2">
        <v>33</v>
      </c>
    </row>
    <row r="57" spans="1:7">
      <c r="A57" s="1">
        <v>55</v>
      </c>
      <c r="B57" s="2" t="s">
        <v>144</v>
      </c>
      <c r="C57" s="1" t="s">
        <v>80</v>
      </c>
      <c r="D57" s="2" t="s">
        <v>80</v>
      </c>
      <c r="E57" s="1">
        <v>1</v>
      </c>
      <c r="G57" s="2">
        <v>33</v>
      </c>
    </row>
    <row r="58" spans="1:7">
      <c r="A58" s="1">
        <v>56</v>
      </c>
      <c r="B58" s="2" t="s">
        <v>145</v>
      </c>
      <c r="C58" s="1" t="s">
        <v>146</v>
      </c>
      <c r="D58" s="2" t="s">
        <v>147</v>
      </c>
      <c r="E58" s="1">
        <v>0</v>
      </c>
      <c r="G58" s="2">
        <v>33</v>
      </c>
    </row>
    <row r="59" spans="1:7">
      <c r="A59" s="1">
        <v>57</v>
      </c>
      <c r="B59" s="2" t="s">
        <v>148</v>
      </c>
      <c r="C59" s="1" t="s">
        <v>149</v>
      </c>
      <c r="D59" s="2" t="s">
        <v>149</v>
      </c>
      <c r="E59" s="1">
        <v>1</v>
      </c>
      <c r="G59" s="2">
        <v>32</v>
      </c>
    </row>
    <row r="60" spans="1:7">
      <c r="A60" s="1">
        <v>58</v>
      </c>
      <c r="B60" s="2" t="s">
        <v>150</v>
      </c>
      <c r="C60" s="1" t="s">
        <v>151</v>
      </c>
      <c r="D60" s="2" t="s">
        <v>151</v>
      </c>
      <c r="E60" s="1">
        <v>1</v>
      </c>
      <c r="G60" s="2">
        <v>32</v>
      </c>
    </row>
    <row r="61" spans="1:7">
      <c r="A61" s="1">
        <v>59</v>
      </c>
      <c r="B61" s="2" t="s">
        <v>152</v>
      </c>
      <c r="C61" s="1" t="s">
        <v>153</v>
      </c>
      <c r="D61" s="2" t="s">
        <v>153</v>
      </c>
      <c r="E61" s="1">
        <v>1</v>
      </c>
      <c r="G61" s="2">
        <v>32</v>
      </c>
    </row>
    <row r="62" spans="1:7">
      <c r="A62" s="1">
        <v>60</v>
      </c>
      <c r="B62" s="2" t="s">
        <v>154</v>
      </c>
      <c r="C62" s="1" t="s">
        <v>155</v>
      </c>
      <c r="D62" s="2" t="s">
        <v>155</v>
      </c>
      <c r="E62" s="1">
        <v>1</v>
      </c>
      <c r="G62" s="2">
        <v>30</v>
      </c>
    </row>
    <row r="63" spans="1:7">
      <c r="A63" s="1">
        <v>61</v>
      </c>
      <c r="B63" s="2" t="s">
        <v>156</v>
      </c>
      <c r="C63" s="1" t="s">
        <v>157</v>
      </c>
      <c r="D63" s="2" t="s">
        <v>149</v>
      </c>
      <c r="E63" s="1">
        <v>0</v>
      </c>
      <c r="G63" s="2">
        <v>30</v>
      </c>
    </row>
    <row r="64" spans="1:7">
      <c r="A64" s="1">
        <v>62</v>
      </c>
      <c r="B64" s="2" t="s">
        <v>158</v>
      </c>
      <c r="C64" s="1" t="s">
        <v>159</v>
      </c>
      <c r="D64" s="2" t="s">
        <v>160</v>
      </c>
      <c r="E64" s="1">
        <v>0</v>
      </c>
      <c r="G64" s="2">
        <v>30</v>
      </c>
    </row>
    <row r="65" spans="1:7">
      <c r="A65" s="1">
        <v>63</v>
      </c>
      <c r="B65" s="2" t="s">
        <v>161</v>
      </c>
      <c r="C65" s="1" t="s">
        <v>162</v>
      </c>
      <c r="D65" s="2" t="s">
        <v>162</v>
      </c>
      <c r="E65" s="1">
        <v>1</v>
      </c>
      <c r="G65" s="2">
        <v>29</v>
      </c>
    </row>
    <row r="66" spans="1:7">
      <c r="A66" s="1">
        <v>64</v>
      </c>
      <c r="B66" s="2" t="s">
        <v>163</v>
      </c>
      <c r="C66" s="1" t="s">
        <v>164</v>
      </c>
      <c r="D66" s="2" t="s">
        <v>164</v>
      </c>
      <c r="E66" s="1">
        <v>1</v>
      </c>
      <c r="G66" s="2">
        <v>29</v>
      </c>
    </row>
    <row r="67" spans="1:7">
      <c r="A67" s="1">
        <v>65</v>
      </c>
      <c r="B67" s="2" t="s">
        <v>165</v>
      </c>
      <c r="C67" s="1" t="s">
        <v>166</v>
      </c>
      <c r="D67" s="2" t="s">
        <v>167</v>
      </c>
      <c r="E67" s="1">
        <v>0</v>
      </c>
      <c r="G67" s="2">
        <v>29</v>
      </c>
    </row>
    <row r="68" spans="1:7">
      <c r="A68" s="1">
        <v>66</v>
      </c>
      <c r="B68" s="2" t="s">
        <v>168</v>
      </c>
      <c r="C68" s="1" t="s">
        <v>169</v>
      </c>
      <c r="D68" s="2" t="s">
        <v>170</v>
      </c>
      <c r="E68" s="1">
        <v>0</v>
      </c>
      <c r="G68" s="2">
        <v>28</v>
      </c>
    </row>
    <row r="69" spans="1:7">
      <c r="A69" s="1">
        <v>67</v>
      </c>
      <c r="B69" s="2" t="s">
        <v>171</v>
      </c>
      <c r="C69" s="1" t="s">
        <v>172</v>
      </c>
      <c r="D69" s="2" t="s">
        <v>173</v>
      </c>
      <c r="E69" s="1">
        <v>0</v>
      </c>
      <c r="G69" s="2">
        <v>28</v>
      </c>
    </row>
    <row r="70" spans="1:7">
      <c r="A70" s="1">
        <v>68</v>
      </c>
      <c r="B70" s="2" t="s">
        <v>174</v>
      </c>
      <c r="C70" s="1" t="s">
        <v>175</v>
      </c>
      <c r="D70" s="2" t="s">
        <v>176</v>
      </c>
      <c r="E70" s="1">
        <v>0</v>
      </c>
      <c r="G70" s="2">
        <v>28</v>
      </c>
    </row>
    <row r="71" spans="1:7">
      <c r="A71" s="1">
        <v>69</v>
      </c>
      <c r="B71" s="2" t="s">
        <v>177</v>
      </c>
      <c r="C71" s="1" t="s">
        <v>178</v>
      </c>
      <c r="D71" s="2" t="s">
        <v>179</v>
      </c>
      <c r="E71" s="1">
        <v>0</v>
      </c>
      <c r="G71" s="2">
        <v>28</v>
      </c>
    </row>
    <row r="72" spans="1:7">
      <c r="A72" s="1">
        <v>70</v>
      </c>
      <c r="B72" s="2" t="s">
        <v>180</v>
      </c>
      <c r="C72" s="1" t="s">
        <v>181</v>
      </c>
      <c r="D72" s="2" t="s">
        <v>181</v>
      </c>
      <c r="E72" s="1">
        <v>1</v>
      </c>
      <c r="G72" s="2">
        <v>28</v>
      </c>
    </row>
    <row r="73" spans="1:7">
      <c r="A73" s="1">
        <v>71</v>
      </c>
      <c r="B73" s="2" t="s">
        <v>182</v>
      </c>
      <c r="C73" s="1" t="s">
        <v>183</v>
      </c>
      <c r="D73" s="2" t="s">
        <v>72</v>
      </c>
      <c r="E73" s="1">
        <v>0</v>
      </c>
      <c r="G73" s="2">
        <v>28</v>
      </c>
    </row>
    <row r="74" spans="1:7">
      <c r="A74" s="1">
        <v>72</v>
      </c>
      <c r="B74" s="2" t="s">
        <v>184</v>
      </c>
      <c r="C74" s="1" t="s">
        <v>185</v>
      </c>
      <c r="D74" s="2" t="s">
        <v>185</v>
      </c>
      <c r="E74" s="1">
        <v>1</v>
      </c>
      <c r="G74" s="2">
        <v>26</v>
      </c>
    </row>
    <row r="75" spans="1:7">
      <c r="A75" s="1">
        <v>73</v>
      </c>
      <c r="B75" s="2" t="s">
        <v>186</v>
      </c>
      <c r="C75" s="1" t="s">
        <v>187</v>
      </c>
      <c r="D75" s="2" t="s">
        <v>187</v>
      </c>
      <c r="E75" s="1">
        <v>1</v>
      </c>
      <c r="G75" s="2">
        <v>26</v>
      </c>
    </row>
    <row r="76" spans="1:7">
      <c r="A76" s="1">
        <v>74</v>
      </c>
      <c r="B76" s="2" t="s">
        <v>188</v>
      </c>
      <c r="C76" s="1" t="s">
        <v>189</v>
      </c>
      <c r="D76" s="2" t="s">
        <v>189</v>
      </c>
      <c r="E76" s="1">
        <v>1</v>
      </c>
      <c r="G76" s="2">
        <v>26</v>
      </c>
    </row>
    <row r="77" spans="1:7">
      <c r="A77" s="1">
        <v>75</v>
      </c>
      <c r="B77" s="2" t="s">
        <v>190</v>
      </c>
      <c r="C77" s="1" t="s">
        <v>191</v>
      </c>
      <c r="D77" s="2" t="s">
        <v>192</v>
      </c>
      <c r="E77" s="1">
        <v>0</v>
      </c>
      <c r="G77" s="2">
        <v>26</v>
      </c>
    </row>
    <row r="78" spans="1:7">
      <c r="A78" s="1">
        <v>76</v>
      </c>
      <c r="B78" s="2" t="s">
        <v>193</v>
      </c>
      <c r="C78" s="1" t="s">
        <v>194</v>
      </c>
      <c r="D78" s="2" t="s">
        <v>195</v>
      </c>
      <c r="E78" s="1">
        <v>0</v>
      </c>
      <c r="G78" s="2">
        <v>25</v>
      </c>
    </row>
    <row r="79" spans="1:7">
      <c r="A79" s="1">
        <v>77</v>
      </c>
      <c r="B79" s="2" t="s">
        <v>196</v>
      </c>
      <c r="C79" s="1" t="s">
        <v>197</v>
      </c>
      <c r="D79" s="2" t="s">
        <v>198</v>
      </c>
      <c r="E79" s="1">
        <v>0</v>
      </c>
      <c r="G79" s="2">
        <v>25</v>
      </c>
    </row>
    <row r="80" spans="1:7">
      <c r="A80" s="1">
        <v>78</v>
      </c>
      <c r="B80" s="2" t="s">
        <v>199</v>
      </c>
      <c r="C80" s="1" t="s">
        <v>200</v>
      </c>
      <c r="D80" s="2" t="s">
        <v>115</v>
      </c>
      <c r="E80" s="1">
        <v>0</v>
      </c>
      <c r="G80" s="2">
        <v>25</v>
      </c>
    </row>
    <row r="81" spans="1:7">
      <c r="A81" s="1">
        <v>79</v>
      </c>
      <c r="B81" s="2" t="s">
        <v>201</v>
      </c>
      <c r="C81" s="1" t="s">
        <v>202</v>
      </c>
      <c r="D81" s="2" t="s">
        <v>203</v>
      </c>
      <c r="E81" s="1">
        <v>0</v>
      </c>
      <c r="G81" s="2">
        <v>25</v>
      </c>
    </row>
    <row r="82" spans="1:7">
      <c r="A82" s="1">
        <v>80</v>
      </c>
      <c r="B82" s="2" t="s">
        <v>204</v>
      </c>
      <c r="C82" s="1" t="s">
        <v>205</v>
      </c>
      <c r="D82" s="2" t="s">
        <v>206</v>
      </c>
      <c r="E82" s="1">
        <v>0</v>
      </c>
      <c r="G82" s="2">
        <v>25</v>
      </c>
    </row>
    <row r="83" spans="1:7">
      <c r="A83" s="1">
        <v>81</v>
      </c>
      <c r="B83" s="2" t="s">
        <v>207</v>
      </c>
      <c r="C83" s="1" t="s">
        <v>208</v>
      </c>
      <c r="D83" s="2" t="s">
        <v>209</v>
      </c>
      <c r="E83" s="1">
        <v>0</v>
      </c>
      <c r="G83" s="2">
        <v>24</v>
      </c>
    </row>
    <row r="84" spans="1:7">
      <c r="A84" s="1">
        <v>82</v>
      </c>
      <c r="B84" s="2" t="s">
        <v>210</v>
      </c>
      <c r="C84" s="1" t="s">
        <v>211</v>
      </c>
      <c r="D84" s="2" t="s">
        <v>212</v>
      </c>
      <c r="E84" s="1">
        <v>0</v>
      </c>
      <c r="G84" s="2">
        <v>24</v>
      </c>
    </row>
    <row r="85" spans="1:7">
      <c r="A85" s="1">
        <v>83</v>
      </c>
      <c r="B85" s="2" t="s">
        <v>213</v>
      </c>
      <c r="C85" s="1" t="s">
        <v>214</v>
      </c>
      <c r="D85" s="2" t="s">
        <v>215</v>
      </c>
      <c r="E85" s="1">
        <v>0</v>
      </c>
      <c r="G85" s="2">
        <v>24</v>
      </c>
    </row>
    <row r="86" spans="1:7">
      <c r="A86" s="1">
        <v>84</v>
      </c>
      <c r="B86" s="2" t="s">
        <v>216</v>
      </c>
      <c r="C86" s="1" t="s">
        <v>217</v>
      </c>
      <c r="D86" s="2" t="s">
        <v>87</v>
      </c>
      <c r="E86" s="1">
        <v>0</v>
      </c>
      <c r="G86" s="2">
        <v>24</v>
      </c>
    </row>
    <row r="87" spans="1:7">
      <c r="A87" s="1">
        <v>85</v>
      </c>
      <c r="B87" s="2" t="s">
        <v>218</v>
      </c>
      <c r="C87" s="1" t="s">
        <v>219</v>
      </c>
      <c r="D87" s="2" t="s">
        <v>219</v>
      </c>
      <c r="E87" s="1">
        <v>1</v>
      </c>
      <c r="G87" s="2">
        <v>22</v>
      </c>
    </row>
    <row r="88" spans="1:7">
      <c r="A88" s="1">
        <v>86</v>
      </c>
      <c r="B88" s="2" t="s">
        <v>220</v>
      </c>
      <c r="C88" s="1" t="s">
        <v>221</v>
      </c>
      <c r="D88" s="2" t="s">
        <v>222</v>
      </c>
      <c r="E88" s="1">
        <v>0</v>
      </c>
      <c r="G88" s="2">
        <v>22</v>
      </c>
    </row>
    <row r="89" spans="1:7">
      <c r="A89" s="1">
        <v>87</v>
      </c>
      <c r="B89" s="2" t="s">
        <v>223</v>
      </c>
      <c r="C89" s="1" t="s">
        <v>224</v>
      </c>
      <c r="D89" s="2" t="s">
        <v>224</v>
      </c>
      <c r="E89" s="1">
        <v>1</v>
      </c>
      <c r="G89" s="2">
        <v>22</v>
      </c>
    </row>
    <row r="90" spans="1:7">
      <c r="A90" s="1">
        <v>88</v>
      </c>
      <c r="B90" s="2" t="s">
        <v>225</v>
      </c>
      <c r="C90" s="1" t="s">
        <v>226</v>
      </c>
      <c r="D90" s="2" t="s">
        <v>226</v>
      </c>
      <c r="E90" s="1">
        <v>1</v>
      </c>
      <c r="G90" s="2">
        <v>22</v>
      </c>
    </row>
    <row r="91" spans="1:7">
      <c r="A91" s="1">
        <v>89</v>
      </c>
      <c r="B91" s="2" t="s">
        <v>227</v>
      </c>
      <c r="C91" s="1" t="s">
        <v>228</v>
      </c>
      <c r="D91" s="2" t="s">
        <v>228</v>
      </c>
      <c r="E91" s="1">
        <v>1</v>
      </c>
      <c r="G91" s="2">
        <v>21</v>
      </c>
    </row>
    <row r="92" spans="1:7">
      <c r="A92" s="1">
        <v>90</v>
      </c>
      <c r="B92" s="2" t="s">
        <v>229</v>
      </c>
      <c r="C92" s="1" t="s">
        <v>230</v>
      </c>
      <c r="D92" s="2" t="s">
        <v>231</v>
      </c>
      <c r="E92" s="1">
        <v>0</v>
      </c>
      <c r="G92" s="2">
        <v>21</v>
      </c>
    </row>
    <row r="93" spans="1:7">
      <c r="A93" s="1">
        <v>91</v>
      </c>
      <c r="B93" s="2" t="s">
        <v>232</v>
      </c>
      <c r="C93" s="1" t="s">
        <v>233</v>
      </c>
      <c r="D93" s="2" t="s">
        <v>234</v>
      </c>
      <c r="E93" s="1">
        <v>0</v>
      </c>
      <c r="G93" s="2">
        <v>18</v>
      </c>
    </row>
    <row r="94" spans="1:7">
      <c r="A94" s="1">
        <v>92</v>
      </c>
      <c r="B94" s="2" t="s">
        <v>235</v>
      </c>
      <c r="C94" s="1" t="s">
        <v>236</v>
      </c>
      <c r="D94" s="2" t="s">
        <v>131</v>
      </c>
      <c r="E94" s="1">
        <v>0</v>
      </c>
      <c r="G94" s="2">
        <v>18</v>
      </c>
    </row>
    <row r="95" spans="1:7">
      <c r="A95" s="1">
        <v>93</v>
      </c>
      <c r="B95" s="2" t="s">
        <v>237</v>
      </c>
      <c r="C95" s="1" t="s">
        <v>170</v>
      </c>
      <c r="D95" s="2" t="s">
        <v>67</v>
      </c>
      <c r="E95" s="1">
        <v>0</v>
      </c>
      <c r="G95" s="2">
        <v>18</v>
      </c>
    </row>
    <row r="96" spans="1:7">
      <c r="A96" s="1">
        <v>94</v>
      </c>
      <c r="B96" s="2" t="s">
        <v>238</v>
      </c>
      <c r="C96" s="1" t="s">
        <v>131</v>
      </c>
      <c r="D96" s="2" t="s">
        <v>239</v>
      </c>
      <c r="E96" s="1">
        <v>0</v>
      </c>
      <c r="G96" s="2">
        <v>18</v>
      </c>
    </row>
    <row r="97" spans="1:7">
      <c r="A97" s="1">
        <v>95</v>
      </c>
      <c r="B97" s="2" t="s">
        <v>240</v>
      </c>
      <c r="C97" s="1" t="s">
        <v>241</v>
      </c>
      <c r="D97" s="2" t="s">
        <v>85</v>
      </c>
      <c r="E97" s="1">
        <v>0</v>
      </c>
      <c r="G97" s="2">
        <v>18</v>
      </c>
    </row>
    <row r="98" spans="1:7">
      <c r="A98" s="1">
        <v>96</v>
      </c>
      <c r="B98" s="2" t="s">
        <v>242</v>
      </c>
      <c r="C98" s="1" t="s">
        <v>243</v>
      </c>
      <c r="D98" s="2" t="s">
        <v>244</v>
      </c>
      <c r="E98" s="1">
        <v>0</v>
      </c>
      <c r="G98" s="2">
        <v>18</v>
      </c>
    </row>
    <row r="99" spans="1:7">
      <c r="A99" s="1">
        <v>97</v>
      </c>
      <c r="B99" s="2" t="s">
        <v>245</v>
      </c>
      <c r="C99" s="1" t="s">
        <v>246</v>
      </c>
      <c r="D99" s="2" t="s">
        <v>247</v>
      </c>
      <c r="E99" s="1">
        <v>0</v>
      </c>
      <c r="G99" s="2">
        <v>18</v>
      </c>
    </row>
    <row r="100" spans="1:7">
      <c r="A100" s="1">
        <v>98</v>
      </c>
      <c r="B100" s="2" t="s">
        <v>248</v>
      </c>
      <c r="C100" s="1" t="s">
        <v>249</v>
      </c>
      <c r="D100" s="2" t="s">
        <v>250</v>
      </c>
      <c r="E100" s="1">
        <v>0</v>
      </c>
      <c r="G100" s="2">
        <v>18</v>
      </c>
    </row>
    <row r="101" spans="1:7">
      <c r="A101" s="1">
        <v>99</v>
      </c>
      <c r="B101" s="2" t="s">
        <v>251</v>
      </c>
      <c r="C101" s="1" t="s">
        <v>252</v>
      </c>
      <c r="D101" s="2" t="s">
        <v>253</v>
      </c>
      <c r="E101" s="1">
        <v>0</v>
      </c>
      <c r="G101" s="2">
        <v>18</v>
      </c>
    </row>
    <row r="102" spans="1:7">
      <c r="A102" s="1">
        <v>100</v>
      </c>
      <c r="B102" s="2" t="s">
        <v>254</v>
      </c>
      <c r="C102" s="1" t="s">
        <v>120</v>
      </c>
      <c r="D102" s="2" t="s">
        <v>170</v>
      </c>
      <c r="E102" s="1">
        <v>0</v>
      </c>
      <c r="G102" s="2">
        <v>17</v>
      </c>
    </row>
    <row r="103" spans="1:7">
      <c r="A103" s="1">
        <v>101</v>
      </c>
      <c r="B103" s="2" t="s">
        <v>255</v>
      </c>
      <c r="C103" s="1" t="s">
        <v>256</v>
      </c>
      <c r="D103" s="2" t="s">
        <v>257</v>
      </c>
      <c r="E103" s="1">
        <v>0</v>
      </c>
      <c r="G103" s="2">
        <v>17</v>
      </c>
    </row>
    <row r="104" spans="1:7">
      <c r="A104" s="1">
        <v>102</v>
      </c>
      <c r="B104" s="2" t="s">
        <v>258</v>
      </c>
      <c r="C104" s="1" t="s">
        <v>259</v>
      </c>
      <c r="D104" s="2" t="s">
        <v>260</v>
      </c>
      <c r="E104" s="1">
        <v>0</v>
      </c>
      <c r="G104" s="2">
        <v>17</v>
      </c>
    </row>
    <row r="105" spans="1:7">
      <c r="A105" s="1">
        <v>103</v>
      </c>
      <c r="B105" s="2" t="s">
        <v>261</v>
      </c>
      <c r="C105" s="1" t="s">
        <v>262</v>
      </c>
      <c r="D105" s="2" t="s">
        <v>263</v>
      </c>
      <c r="E105" s="1">
        <v>0</v>
      </c>
      <c r="G105" s="2">
        <v>17</v>
      </c>
    </row>
    <row r="106" spans="1:7">
      <c r="A106" s="1">
        <v>104</v>
      </c>
      <c r="B106" s="2" t="s">
        <v>264</v>
      </c>
      <c r="C106" s="1" t="s">
        <v>265</v>
      </c>
      <c r="D106" s="2" t="s">
        <v>265</v>
      </c>
      <c r="E106" s="1">
        <v>1</v>
      </c>
      <c r="G106" s="2">
        <v>17</v>
      </c>
    </row>
    <row r="107" spans="1:7">
      <c r="A107" s="1">
        <v>105</v>
      </c>
      <c r="B107" s="2" t="s">
        <v>266</v>
      </c>
      <c r="C107" s="1" t="s">
        <v>267</v>
      </c>
      <c r="D107" s="2" t="s">
        <v>268</v>
      </c>
      <c r="E107" s="1">
        <v>0</v>
      </c>
      <c r="G107" s="2">
        <v>16</v>
      </c>
    </row>
    <row r="108" spans="1:7">
      <c r="A108" s="1">
        <v>106</v>
      </c>
      <c r="B108" s="2" t="s">
        <v>269</v>
      </c>
      <c r="C108" s="1" t="s">
        <v>270</v>
      </c>
      <c r="D108" s="2" t="s">
        <v>271</v>
      </c>
      <c r="E108" s="1">
        <v>0</v>
      </c>
      <c r="G108" s="2">
        <v>16</v>
      </c>
    </row>
    <row r="109" spans="1:7">
      <c r="A109" s="1">
        <v>107</v>
      </c>
      <c r="B109" s="2" t="s">
        <v>272</v>
      </c>
      <c r="C109" s="1" t="s">
        <v>273</v>
      </c>
      <c r="D109" s="2" t="s">
        <v>273</v>
      </c>
      <c r="E109" s="1">
        <v>1</v>
      </c>
      <c r="G109" s="2">
        <v>14</v>
      </c>
    </row>
    <row r="110" spans="1:7">
      <c r="A110" s="1">
        <v>108</v>
      </c>
      <c r="B110" s="2" t="s">
        <v>274</v>
      </c>
      <c r="C110" s="1" t="s">
        <v>275</v>
      </c>
      <c r="D110" s="2" t="s">
        <v>275</v>
      </c>
      <c r="E110" s="1">
        <v>1</v>
      </c>
      <c r="G110" s="2">
        <v>14</v>
      </c>
    </row>
    <row r="111" spans="1:7">
      <c r="A111" s="1">
        <v>109</v>
      </c>
      <c r="B111" s="2" t="s">
        <v>276</v>
      </c>
      <c r="C111" s="1" t="s">
        <v>277</v>
      </c>
      <c r="D111" s="2" t="s">
        <v>278</v>
      </c>
      <c r="E111" s="1">
        <v>0</v>
      </c>
      <c r="G111" s="2">
        <v>13</v>
      </c>
    </row>
    <row r="112" spans="1:7">
      <c r="A112" s="1">
        <v>110</v>
      </c>
      <c r="B112" s="2" t="s">
        <v>279</v>
      </c>
      <c r="C112" s="1" t="s">
        <v>280</v>
      </c>
      <c r="D112" s="2" t="s">
        <v>281</v>
      </c>
      <c r="E112" s="1">
        <v>0</v>
      </c>
      <c r="G112" s="2">
        <v>13</v>
      </c>
    </row>
    <row r="113" spans="1:7">
      <c r="A113" s="1">
        <v>111</v>
      </c>
      <c r="B113" s="2" t="s">
        <v>282</v>
      </c>
      <c r="C113" s="1" t="s">
        <v>283</v>
      </c>
      <c r="D113" s="2" t="s">
        <v>284</v>
      </c>
      <c r="E113" s="1">
        <v>0</v>
      </c>
      <c r="G113" s="2">
        <v>13</v>
      </c>
    </row>
    <row r="114" spans="1:7">
      <c r="A114" s="1">
        <v>112</v>
      </c>
      <c r="B114" s="2" t="s">
        <v>285</v>
      </c>
      <c r="C114" s="1" t="s">
        <v>286</v>
      </c>
      <c r="D114" s="2" t="s">
        <v>287</v>
      </c>
      <c r="E114" s="1">
        <v>0</v>
      </c>
      <c r="G114" s="2">
        <v>13</v>
      </c>
    </row>
    <row r="115" spans="1:7">
      <c r="A115" s="1">
        <v>113</v>
      </c>
      <c r="B115" s="2" t="s">
        <v>288</v>
      </c>
      <c r="C115" s="1" t="s">
        <v>289</v>
      </c>
      <c r="D115" s="2" t="s">
        <v>187</v>
      </c>
      <c r="E115" s="1">
        <v>0</v>
      </c>
      <c r="G115" s="2">
        <v>12</v>
      </c>
    </row>
    <row r="116" spans="1:7">
      <c r="A116" s="1">
        <v>114</v>
      </c>
      <c r="B116" s="2" t="s">
        <v>290</v>
      </c>
      <c r="C116" s="1" t="s">
        <v>160</v>
      </c>
      <c r="D116" s="2" t="s">
        <v>130</v>
      </c>
      <c r="E116" s="1">
        <v>0</v>
      </c>
      <c r="G116" s="2">
        <v>11</v>
      </c>
    </row>
    <row r="117" spans="1:7">
      <c r="A117" s="1">
        <v>115</v>
      </c>
      <c r="B117" s="2" t="s">
        <v>291</v>
      </c>
      <c r="C117" s="1" t="s">
        <v>292</v>
      </c>
      <c r="D117" s="2" t="s">
        <v>293</v>
      </c>
      <c r="E117" s="1">
        <v>0</v>
      </c>
      <c r="G117" s="2">
        <v>11</v>
      </c>
    </row>
    <row r="118" spans="1:7">
      <c r="A118" s="1">
        <v>116</v>
      </c>
      <c r="B118" s="2" t="s">
        <v>294</v>
      </c>
      <c r="C118" s="1" t="s">
        <v>295</v>
      </c>
      <c r="D118" s="2" t="s">
        <v>296</v>
      </c>
      <c r="E118" s="1">
        <v>0</v>
      </c>
      <c r="G118" s="2">
        <v>11</v>
      </c>
    </row>
    <row r="119" spans="1:7">
      <c r="A119" s="1">
        <v>117</v>
      </c>
      <c r="B119" s="2" t="s">
        <v>297</v>
      </c>
      <c r="C119" s="1" t="s">
        <v>239</v>
      </c>
      <c r="D119" s="2" t="s">
        <v>239</v>
      </c>
      <c r="E119" s="1">
        <v>1</v>
      </c>
      <c r="G119" s="2">
        <v>11</v>
      </c>
    </row>
    <row r="120" spans="1:7">
      <c r="A120" s="1">
        <v>118</v>
      </c>
      <c r="B120" s="2" t="s">
        <v>298</v>
      </c>
      <c r="C120" s="1" t="s">
        <v>299</v>
      </c>
      <c r="D120" s="2" t="s">
        <v>300</v>
      </c>
      <c r="E120" s="1">
        <v>0</v>
      </c>
      <c r="G120" s="2">
        <v>11</v>
      </c>
    </row>
    <row r="121" spans="1:7">
      <c r="A121" s="1">
        <v>119</v>
      </c>
      <c r="B121" s="2" t="s">
        <v>301</v>
      </c>
      <c r="C121" s="1" t="s">
        <v>302</v>
      </c>
      <c r="D121" s="2" t="s">
        <v>146</v>
      </c>
      <c r="E121" s="1">
        <v>0</v>
      </c>
      <c r="G121" s="2">
        <v>9</v>
      </c>
    </row>
    <row r="122" spans="1:7">
      <c r="A122" s="1">
        <v>120</v>
      </c>
      <c r="B122" s="2" t="s">
        <v>303</v>
      </c>
      <c r="C122" s="1" t="s">
        <v>304</v>
      </c>
      <c r="D122" s="2" t="s">
        <v>304</v>
      </c>
      <c r="E122" s="1">
        <v>1</v>
      </c>
      <c r="G122" s="2">
        <v>9</v>
      </c>
    </row>
    <row r="123" spans="1:7">
      <c r="A123" s="1">
        <v>121</v>
      </c>
      <c r="B123" s="2" t="s">
        <v>305</v>
      </c>
      <c r="C123" s="1" t="s">
        <v>306</v>
      </c>
      <c r="D123" s="2" t="s">
        <v>307</v>
      </c>
      <c r="E123" s="1">
        <v>0</v>
      </c>
      <c r="G123" s="2">
        <v>9</v>
      </c>
    </row>
    <row r="124" spans="1:7">
      <c r="A124" s="1">
        <v>122</v>
      </c>
      <c r="B124" s="2" t="s">
        <v>308</v>
      </c>
      <c r="C124" s="1" t="s">
        <v>309</v>
      </c>
      <c r="D124" s="2" t="s">
        <v>309</v>
      </c>
      <c r="E124" s="1">
        <v>1</v>
      </c>
      <c r="G124" s="2">
        <v>9</v>
      </c>
    </row>
    <row r="125" spans="1:7">
      <c r="A125" s="1">
        <v>123</v>
      </c>
      <c r="B125" s="2" t="s">
        <v>310</v>
      </c>
      <c r="C125" s="1" t="s">
        <v>311</v>
      </c>
      <c r="D125" s="2" t="s">
        <v>312</v>
      </c>
      <c r="E125" s="1">
        <v>0</v>
      </c>
      <c r="G125" s="2">
        <v>8</v>
      </c>
    </row>
    <row r="126" spans="1:7">
      <c r="A126" s="1">
        <v>124</v>
      </c>
      <c r="B126" s="2" t="s">
        <v>313</v>
      </c>
      <c r="C126" s="1" t="s">
        <v>92</v>
      </c>
      <c r="D126" s="2" t="s">
        <v>67</v>
      </c>
      <c r="E126" s="1">
        <v>0</v>
      </c>
      <c r="G126" s="2">
        <v>8</v>
      </c>
    </row>
    <row r="127" spans="1:7">
      <c r="A127" s="1">
        <v>125</v>
      </c>
      <c r="B127" s="2" t="s">
        <v>314</v>
      </c>
      <c r="C127" s="1" t="s">
        <v>315</v>
      </c>
      <c r="D127" s="2" t="s">
        <v>316</v>
      </c>
      <c r="E127" s="1">
        <v>0</v>
      </c>
      <c r="G127" s="2">
        <v>8</v>
      </c>
    </row>
    <row r="128" spans="1:7">
      <c r="A128" s="1">
        <v>126</v>
      </c>
      <c r="B128" s="2" t="s">
        <v>317</v>
      </c>
      <c r="C128" s="1" t="s">
        <v>318</v>
      </c>
      <c r="D128" s="2" t="s">
        <v>319</v>
      </c>
      <c r="E128" s="1">
        <v>0</v>
      </c>
      <c r="G128" s="2">
        <v>7</v>
      </c>
    </row>
    <row r="129" spans="1:7">
      <c r="A129" s="1">
        <v>127</v>
      </c>
      <c r="B129" s="2" t="s">
        <v>320</v>
      </c>
      <c r="C129" s="1" t="s">
        <v>321</v>
      </c>
      <c r="D129" s="2" t="s">
        <v>322</v>
      </c>
      <c r="E129" s="1">
        <v>0</v>
      </c>
      <c r="G129" s="2">
        <v>7</v>
      </c>
    </row>
    <row r="130" spans="1:7">
      <c r="A130" s="1">
        <v>128</v>
      </c>
      <c r="B130" s="2" t="s">
        <v>323</v>
      </c>
      <c r="C130" s="1" t="s">
        <v>324</v>
      </c>
      <c r="D130" s="2" t="s">
        <v>275</v>
      </c>
      <c r="E130" s="1">
        <v>0</v>
      </c>
      <c r="G130" s="2">
        <v>7</v>
      </c>
    </row>
    <row r="131" spans="1:7">
      <c r="A131" s="1">
        <v>129</v>
      </c>
      <c r="B131" s="2" t="s">
        <v>325</v>
      </c>
      <c r="C131" s="1" t="s">
        <v>326</v>
      </c>
      <c r="D131" s="2" t="s">
        <v>85</v>
      </c>
      <c r="E131" s="1">
        <v>0</v>
      </c>
      <c r="G131" s="2">
        <v>5</v>
      </c>
    </row>
    <row r="132" spans="1:7">
      <c r="A132" s="1">
        <v>130</v>
      </c>
      <c r="B132" s="2" t="s">
        <v>327</v>
      </c>
      <c r="C132" s="1" t="s">
        <v>328</v>
      </c>
      <c r="D132" s="2" t="s">
        <v>329</v>
      </c>
      <c r="E132" s="1">
        <v>0</v>
      </c>
      <c r="G132" s="2">
        <v>5</v>
      </c>
    </row>
    <row r="133" spans="1:7">
      <c r="A133" s="1">
        <v>131</v>
      </c>
      <c r="B133" s="2" t="s">
        <v>330</v>
      </c>
      <c r="C133" s="1" t="s">
        <v>331</v>
      </c>
      <c r="D133" s="2" t="s">
        <v>332</v>
      </c>
      <c r="E133" s="1">
        <v>0</v>
      </c>
      <c r="G133" s="2">
        <v>5</v>
      </c>
    </row>
    <row r="134" spans="1:7">
      <c r="A134" s="1">
        <v>132</v>
      </c>
      <c r="B134" s="2" t="s">
        <v>333</v>
      </c>
      <c r="C134" s="1" t="s">
        <v>334</v>
      </c>
      <c r="D134" s="2" t="s">
        <v>334</v>
      </c>
      <c r="E134" s="1">
        <v>1</v>
      </c>
      <c r="G134" s="2">
        <v>5</v>
      </c>
    </row>
    <row r="135" spans="1:7">
      <c r="A135" s="1">
        <v>133</v>
      </c>
      <c r="B135" s="2" t="s">
        <v>335</v>
      </c>
      <c r="C135" s="1" t="s">
        <v>336</v>
      </c>
      <c r="D135" s="2" t="s">
        <v>337</v>
      </c>
      <c r="E135" s="1">
        <v>0</v>
      </c>
      <c r="G135" s="2">
        <v>5</v>
      </c>
    </row>
    <row r="136" spans="1:7">
      <c r="A136" s="1">
        <v>134</v>
      </c>
      <c r="B136" s="2" t="s">
        <v>338</v>
      </c>
      <c r="C136" s="1" t="s">
        <v>339</v>
      </c>
      <c r="D136" s="2" t="s">
        <v>339</v>
      </c>
      <c r="E136" s="1">
        <v>1</v>
      </c>
      <c r="G136" s="2">
        <v>4</v>
      </c>
    </row>
    <row r="137" spans="1:7">
      <c r="A137" s="1">
        <v>135</v>
      </c>
      <c r="B137" s="2" t="s">
        <v>340</v>
      </c>
      <c r="C137" s="1" t="s">
        <v>341</v>
      </c>
      <c r="D137" s="2" t="s">
        <v>342</v>
      </c>
      <c r="E137" s="1">
        <v>0</v>
      </c>
      <c r="G137" s="2">
        <v>4</v>
      </c>
    </row>
    <row r="138" spans="1:7">
      <c r="A138" s="1">
        <v>136</v>
      </c>
      <c r="B138" s="2" t="s">
        <v>343</v>
      </c>
      <c r="C138" s="1" t="s">
        <v>344</v>
      </c>
      <c r="D138" s="2" t="s">
        <v>345</v>
      </c>
      <c r="E138" s="1">
        <v>0</v>
      </c>
      <c r="G138" s="2">
        <v>3</v>
      </c>
    </row>
    <row r="139" spans="1:7">
      <c r="A139" s="1">
        <v>137</v>
      </c>
      <c r="B139" s="2" t="s">
        <v>346</v>
      </c>
      <c r="C139" s="1" t="s">
        <v>347</v>
      </c>
      <c r="D139" s="2" t="s">
        <v>348</v>
      </c>
      <c r="E139" s="1">
        <v>0</v>
      </c>
      <c r="G139" s="2">
        <v>3</v>
      </c>
    </row>
    <row r="140" spans="1:7">
      <c r="A140" s="1">
        <v>138</v>
      </c>
      <c r="B140" s="2" t="s">
        <v>349</v>
      </c>
      <c r="C140" s="1" t="s">
        <v>350</v>
      </c>
      <c r="D140" s="2" t="s">
        <v>351</v>
      </c>
      <c r="E140" s="1">
        <v>0</v>
      </c>
      <c r="G140" s="2">
        <v>3</v>
      </c>
    </row>
    <row r="141" spans="1:7">
      <c r="A141" s="1">
        <v>139</v>
      </c>
      <c r="B141" s="2" t="s">
        <v>352</v>
      </c>
      <c r="C141" s="1" t="s">
        <v>353</v>
      </c>
      <c r="D141" s="2" t="s">
        <v>172</v>
      </c>
      <c r="E141" s="1">
        <v>0</v>
      </c>
      <c r="G141" s="2">
        <v>1</v>
      </c>
    </row>
    <row r="142" spans="1:7">
      <c r="A142" s="1">
        <v>140</v>
      </c>
      <c r="B142" s="2" t="s">
        <v>354</v>
      </c>
      <c r="C142" s="1" t="s">
        <v>355</v>
      </c>
      <c r="D142" s="2" t="s">
        <v>356</v>
      </c>
      <c r="E142" s="1">
        <v>0</v>
      </c>
      <c r="G142" s="2">
        <v>1</v>
      </c>
    </row>
    <row r="143" spans="1:7">
      <c r="A143" s="1">
        <v>141</v>
      </c>
      <c r="B143" s="2" t="s">
        <v>357</v>
      </c>
      <c r="C143" s="1" t="s">
        <v>358</v>
      </c>
      <c r="D143" s="2" t="s">
        <v>359</v>
      </c>
      <c r="E143" s="1">
        <v>0</v>
      </c>
      <c r="G143" s="2">
        <v>0</v>
      </c>
    </row>
    <row r="144" spans="1:7">
      <c r="A144" s="1">
        <v>142</v>
      </c>
      <c r="B144" s="2" t="s">
        <v>360</v>
      </c>
      <c r="C144" s="1" t="s">
        <v>361</v>
      </c>
      <c r="D144" s="2" t="s">
        <v>362</v>
      </c>
      <c r="E144" s="1">
        <v>0</v>
      </c>
      <c r="G144" s="2">
        <v>0</v>
      </c>
    </row>
    <row r="145" spans="1:7">
      <c r="A145" s="1">
        <v>143</v>
      </c>
      <c r="B145" s="2" t="s">
        <v>363</v>
      </c>
      <c r="C145" s="1" t="s">
        <v>364</v>
      </c>
      <c r="D145" s="2" t="s">
        <v>65</v>
      </c>
      <c r="E145" s="1">
        <v>0</v>
      </c>
      <c r="G145" s="2">
        <v>0</v>
      </c>
    </row>
    <row r="146" spans="1:7">
      <c r="A146" s="1">
        <v>144</v>
      </c>
      <c r="B146" s="2" t="s">
        <v>365</v>
      </c>
      <c r="C146" s="1" t="s">
        <v>281</v>
      </c>
      <c r="D146" s="2" t="s">
        <v>77</v>
      </c>
      <c r="E146" s="1">
        <v>0</v>
      </c>
      <c r="G146" s="2">
        <v>0</v>
      </c>
    </row>
    <row r="147" spans="1:7">
      <c r="D147" s="2"/>
    </row>
    <row r="148" spans="1:7">
      <c r="D148" s="2"/>
    </row>
    <row r="149" spans="1:7">
      <c r="D149" s="2"/>
    </row>
    <row r="150" spans="1:7">
      <c r="D150" s="2"/>
    </row>
    <row r="151" spans="1:7">
      <c r="D151" s="2"/>
    </row>
    <row r="152" spans="1:7">
      <c r="D152" s="2"/>
    </row>
    <row r="153" spans="1:7">
      <c r="D153" s="2"/>
    </row>
    <row r="154" spans="1:7">
      <c r="D154" s="2"/>
    </row>
    <row r="155" spans="1:7">
      <c r="D155" s="2"/>
    </row>
    <row r="156" spans="1:7">
      <c r="D156" s="2"/>
    </row>
    <row r="157" spans="1:7">
      <c r="D1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8704-65A6-414E-839F-7AB3D97AA63F}">
  <dimension ref="A1:H147"/>
  <sheetViews>
    <sheetView workbookViewId="0">
      <selection activeCell="J11" sqref="J11"/>
    </sheetView>
  </sheetViews>
  <sheetFormatPr defaultRowHeight="15"/>
  <sheetData>
    <row r="1" spans="1:8">
      <c r="A1" t="s">
        <v>366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</row>
    <row r="2" spans="1:8">
      <c r="A2" s="1">
        <v>1</v>
      </c>
      <c r="B2" s="2">
        <v>92</v>
      </c>
      <c r="C2" s="2">
        <f>$B$146+$B$147*B2</f>
        <v>9.2999999999999999E-2</v>
      </c>
      <c r="D2">
        <f>EXP(C2)</f>
        <v>1.097461735268082</v>
      </c>
      <c r="E2">
        <f>IF(A2=1,D2/(1+D2),1-(D2/(1+D2)))</f>
        <v>0.52323325704333412</v>
      </c>
      <c r="F2">
        <f>LN(E2)</f>
        <v>-0.64772791617402548</v>
      </c>
      <c r="H2" t="s">
        <v>372</v>
      </c>
    </row>
    <row r="3" spans="1:8">
      <c r="A3" s="1">
        <v>1</v>
      </c>
      <c r="B3" s="2">
        <v>86</v>
      </c>
      <c r="C3" s="2">
        <f>$B$146+$B$147*B3</f>
        <v>8.7000000000000008E-2</v>
      </c>
      <c r="D3">
        <f>EXP(C3)</f>
        <v>1.0908966797182778</v>
      </c>
      <c r="E3">
        <f t="shared" ref="E3:E66" si="0">IF(A3=1,D3/(1+D3),1-(D3/(1+D3)))</f>
        <v>0.52173629156332213</v>
      </c>
      <c r="F3">
        <f t="shared" ref="F3:F66" si="1">LN(E3)</f>
        <v>-0.6505930073262518</v>
      </c>
      <c r="H3" t="s">
        <v>373</v>
      </c>
    </row>
    <row r="4" spans="1:8">
      <c r="A4" s="1">
        <v>0</v>
      </c>
      <c r="B4" s="2">
        <v>82</v>
      </c>
      <c r="C4" s="2">
        <f>$B$146+$B$147*B4</f>
        <v>8.3000000000000004E-2</v>
      </c>
      <c r="D4">
        <f>EXP(C4)</f>
        <v>1.0865418085482381</v>
      </c>
      <c r="E4">
        <f t="shared" si="0"/>
        <v>0.47926190402854862</v>
      </c>
      <c r="F4">
        <f t="shared" si="1"/>
        <v>-0.73550805849465184</v>
      </c>
      <c r="H4" t="s">
        <v>374</v>
      </c>
    </row>
    <row r="5" spans="1:8">
      <c r="A5" s="1">
        <v>1</v>
      </c>
      <c r="B5" s="2">
        <v>82</v>
      </c>
      <c r="C5" s="2">
        <f>$B$146+$B$147*B5</f>
        <v>8.3000000000000004E-2</v>
      </c>
      <c r="D5">
        <f t="shared" ref="D5:D68" si="2">EXP(C5)</f>
        <v>1.0865418085482381</v>
      </c>
      <c r="E5">
        <f t="shared" si="0"/>
        <v>0.52073809597145138</v>
      </c>
      <c r="F5">
        <f t="shared" si="1"/>
        <v>-0.65250805849465165</v>
      </c>
      <c r="H5" t="s">
        <v>375</v>
      </c>
    </row>
    <row r="6" spans="1:8">
      <c r="A6" s="1">
        <v>1</v>
      </c>
      <c r="B6" s="2">
        <v>80</v>
      </c>
      <c r="C6" s="2">
        <f t="shared" ref="C6:C69" si="3">$B$146+$B$147*B6</f>
        <v>8.1000000000000003E-2</v>
      </c>
      <c r="D6">
        <f t="shared" si="2"/>
        <v>1.0843708965667604</v>
      </c>
      <c r="E6">
        <f t="shared" si="0"/>
        <v>0.52023893557181466</v>
      </c>
      <c r="F6">
        <f t="shared" si="1"/>
        <v>-0.6534670814562904</v>
      </c>
      <c r="H6" t="s">
        <v>376</v>
      </c>
    </row>
    <row r="7" spans="1:8">
      <c r="A7" s="1">
        <v>1</v>
      </c>
      <c r="B7" s="2">
        <v>80</v>
      </c>
      <c r="C7" s="2">
        <f t="shared" si="3"/>
        <v>8.1000000000000003E-2</v>
      </c>
      <c r="D7">
        <f t="shared" si="2"/>
        <v>1.0843708965667604</v>
      </c>
      <c r="E7">
        <f t="shared" si="0"/>
        <v>0.52023893557181466</v>
      </c>
      <c r="F7">
        <f t="shared" si="1"/>
        <v>-0.6534670814562904</v>
      </c>
    </row>
    <row r="8" spans="1:8">
      <c r="A8" s="1">
        <v>1</v>
      </c>
      <c r="B8" s="2">
        <v>80</v>
      </c>
      <c r="C8" s="2">
        <f t="shared" si="3"/>
        <v>8.1000000000000003E-2</v>
      </c>
      <c r="D8">
        <f t="shared" si="2"/>
        <v>1.0843708965667604</v>
      </c>
      <c r="E8">
        <f t="shared" si="0"/>
        <v>0.52023893557181466</v>
      </c>
      <c r="F8">
        <f t="shared" si="1"/>
        <v>-0.6534670814562904</v>
      </c>
    </row>
    <row r="9" spans="1:8">
      <c r="A9" s="1">
        <v>1</v>
      </c>
      <c r="B9" s="2">
        <v>78</v>
      </c>
      <c r="C9" s="2">
        <f t="shared" si="3"/>
        <v>7.9000000000000001E-2</v>
      </c>
      <c r="D9">
        <f t="shared" si="2"/>
        <v>1.0822043220703148</v>
      </c>
      <c r="E9">
        <f t="shared" si="0"/>
        <v>0.51973973476065494</v>
      </c>
      <c r="F9">
        <f t="shared" si="1"/>
        <v>-0.65442710277930549</v>
      </c>
    </row>
    <row r="10" spans="1:8">
      <c r="A10" s="1">
        <v>1</v>
      </c>
      <c r="B10" s="2">
        <v>76</v>
      </c>
      <c r="C10" s="2">
        <f t="shared" si="3"/>
        <v>7.6999999999999999E-2</v>
      </c>
      <c r="D10">
        <f t="shared" si="2"/>
        <v>1.0800420763926004</v>
      </c>
      <c r="E10">
        <f t="shared" si="0"/>
        <v>0.51924049453158583</v>
      </c>
      <c r="F10">
        <f t="shared" si="1"/>
        <v>-0.6553881225435263</v>
      </c>
    </row>
    <row r="11" spans="1:8">
      <c r="A11" s="1">
        <v>1</v>
      </c>
      <c r="B11" s="2">
        <v>75</v>
      </c>
      <c r="C11" s="2">
        <f t="shared" si="3"/>
        <v>7.5999999999999998E-2</v>
      </c>
      <c r="D11">
        <f t="shared" si="2"/>
        <v>1.0789625741572839</v>
      </c>
      <c r="E11">
        <f t="shared" si="0"/>
        <v>0.51899085994592553</v>
      </c>
      <c r="F11">
        <f t="shared" si="1"/>
        <v>-0.65586900686549254</v>
      </c>
    </row>
    <row r="12" spans="1:8">
      <c r="A12" s="1">
        <v>1</v>
      </c>
      <c r="B12" s="2">
        <v>71</v>
      </c>
      <c r="C12" s="2">
        <f t="shared" si="3"/>
        <v>7.2000000000000008E-2</v>
      </c>
      <c r="D12">
        <f t="shared" si="2"/>
        <v>1.0746553440638136</v>
      </c>
      <c r="E12">
        <f t="shared" si="0"/>
        <v>0.51799222802896483</v>
      </c>
      <c r="F12">
        <f t="shared" si="1"/>
        <v>-0.65779504064029937</v>
      </c>
    </row>
    <row r="13" spans="1:8">
      <c r="A13" s="1">
        <v>0</v>
      </c>
      <c r="B13" s="2">
        <v>68</v>
      </c>
      <c r="C13" s="2">
        <f t="shared" si="3"/>
        <v>6.9000000000000006E-2</v>
      </c>
      <c r="D13">
        <f t="shared" si="2"/>
        <v>1.0714362091483463</v>
      </c>
      <c r="E13">
        <f t="shared" si="0"/>
        <v>0.48275684068067037</v>
      </c>
      <c r="F13">
        <f t="shared" si="1"/>
        <v>-0.72824218753948156</v>
      </c>
    </row>
    <row r="14" spans="1:8">
      <c r="A14" s="1">
        <v>0</v>
      </c>
      <c r="B14" s="2">
        <v>66</v>
      </c>
      <c r="C14" s="2">
        <f t="shared" si="3"/>
        <v>6.7000000000000004E-2</v>
      </c>
      <c r="D14">
        <f t="shared" si="2"/>
        <v>1.0692954781746002</v>
      </c>
      <c r="E14">
        <f t="shared" si="0"/>
        <v>0.48325626308434977</v>
      </c>
      <c r="F14">
        <f t="shared" si="1"/>
        <v>-0.72720820063758862</v>
      </c>
    </row>
    <row r="15" spans="1:8">
      <c r="A15" s="1">
        <v>1</v>
      </c>
      <c r="B15" s="2">
        <v>66</v>
      </c>
      <c r="C15" s="2">
        <f t="shared" si="3"/>
        <v>6.7000000000000004E-2</v>
      </c>
      <c r="D15">
        <f t="shared" si="2"/>
        <v>1.0692954781746002</v>
      </c>
      <c r="E15">
        <f t="shared" si="0"/>
        <v>0.51674373691565023</v>
      </c>
      <c r="F15">
        <f t="shared" si="1"/>
        <v>-0.66020820063758856</v>
      </c>
    </row>
    <row r="16" spans="1:8">
      <c r="A16" s="1">
        <v>0</v>
      </c>
      <c r="B16" s="2">
        <v>64</v>
      </c>
      <c r="C16" s="2">
        <f t="shared" si="3"/>
        <v>6.5000000000000002E-2</v>
      </c>
      <c r="D16">
        <f t="shared" si="2"/>
        <v>1.0671590243841926</v>
      </c>
      <c r="E16">
        <f t="shared" si="0"/>
        <v>0.48375571893792757</v>
      </c>
      <c r="F16">
        <f t="shared" si="1"/>
        <v>-0.72617521261411877</v>
      </c>
    </row>
    <row r="17" spans="1:6">
      <c r="A17" s="1">
        <v>1</v>
      </c>
      <c r="B17" s="2">
        <v>63</v>
      </c>
      <c r="C17" s="2">
        <f t="shared" si="3"/>
        <v>6.4000000000000001E-2</v>
      </c>
      <c r="D17">
        <f t="shared" si="2"/>
        <v>1.0660923987615052</v>
      </c>
      <c r="E17">
        <f t="shared" si="0"/>
        <v>0.51599454090270203</v>
      </c>
      <c r="F17">
        <f t="shared" si="1"/>
        <v>-0.66165909320246552</v>
      </c>
    </row>
    <row r="18" spans="1:6">
      <c r="A18" s="1">
        <v>1</v>
      </c>
      <c r="B18" s="2">
        <v>61</v>
      </c>
      <c r="C18" s="2">
        <f t="shared" si="3"/>
        <v>6.2E-2</v>
      </c>
      <c r="D18">
        <f t="shared" si="2"/>
        <v>1.0639623447280337</v>
      </c>
      <c r="E18">
        <f t="shared" si="0"/>
        <v>0.51549503674120134</v>
      </c>
      <c r="F18">
        <f t="shared" si="1"/>
        <v>-0.6626276036195784</v>
      </c>
    </row>
    <row r="19" spans="1:6">
      <c r="A19" s="1">
        <v>1</v>
      </c>
      <c r="B19" s="2">
        <v>58</v>
      </c>
      <c r="C19" s="2">
        <f t="shared" si="3"/>
        <v>5.9000000000000004E-2</v>
      </c>
      <c r="D19">
        <f t="shared" si="2"/>
        <v>1.0607752407401589</v>
      </c>
      <c r="E19">
        <f t="shared" si="0"/>
        <v>0.51474572275973451</v>
      </c>
      <c r="F19">
        <f t="shared" si="1"/>
        <v>-0.66408224246333225</v>
      </c>
    </row>
    <row r="20" spans="1:6">
      <c r="A20" s="1">
        <v>1</v>
      </c>
      <c r="B20" s="2">
        <v>55</v>
      </c>
      <c r="C20" s="2">
        <f t="shared" si="3"/>
        <v>5.6000000000000001E-2</v>
      </c>
      <c r="D20">
        <f t="shared" si="2"/>
        <v>1.0575976837366112</v>
      </c>
      <c r="E20">
        <f t="shared" si="0"/>
        <v>0.51399634248032722</v>
      </c>
      <c r="F20">
        <f t="shared" si="1"/>
        <v>-0.66553912934931814</v>
      </c>
    </row>
    <row r="21" spans="1:6">
      <c r="A21" s="1">
        <v>0</v>
      </c>
      <c r="B21" s="2">
        <v>54</v>
      </c>
      <c r="C21" s="2">
        <f t="shared" si="3"/>
        <v>5.5E-2</v>
      </c>
      <c r="D21">
        <f t="shared" si="2"/>
        <v>1.0565406146754943</v>
      </c>
      <c r="E21">
        <f t="shared" si="0"/>
        <v>0.48625346509764511</v>
      </c>
      <c r="F21">
        <f t="shared" si="1"/>
        <v>-0.72102525791004912</v>
      </c>
    </row>
    <row r="22" spans="1:6">
      <c r="A22" s="1">
        <v>0</v>
      </c>
      <c r="B22" s="2">
        <v>53</v>
      </c>
      <c r="C22" s="2">
        <f t="shared" si="3"/>
        <v>5.3999999999999999E-2</v>
      </c>
      <c r="D22">
        <f t="shared" si="2"/>
        <v>1.0554846021550801</v>
      </c>
      <c r="E22">
        <f t="shared" si="0"/>
        <v>0.48650327954368844</v>
      </c>
      <c r="F22">
        <f t="shared" si="1"/>
        <v>-0.72051163628180259</v>
      </c>
    </row>
    <row r="23" spans="1:6">
      <c r="A23" s="1">
        <v>1</v>
      </c>
      <c r="B23" s="2">
        <v>53</v>
      </c>
      <c r="C23" s="2">
        <f t="shared" si="3"/>
        <v>5.3999999999999999E-2</v>
      </c>
      <c r="D23">
        <f t="shared" si="2"/>
        <v>1.0554846021550801</v>
      </c>
      <c r="E23">
        <f t="shared" si="0"/>
        <v>0.51349672045631156</v>
      </c>
      <c r="F23">
        <f t="shared" si="1"/>
        <v>-0.66651163628180288</v>
      </c>
    </row>
    <row r="24" spans="1:6">
      <c r="A24" s="1">
        <v>1</v>
      </c>
      <c r="B24" s="2">
        <v>51</v>
      </c>
      <c r="C24" s="2">
        <f t="shared" si="3"/>
        <v>5.2000000000000005E-2</v>
      </c>
      <c r="D24">
        <f t="shared" si="2"/>
        <v>1.0533757425133647</v>
      </c>
      <c r="E24">
        <f t="shared" si="0"/>
        <v>0.51299707145854179</v>
      </c>
      <c r="F24">
        <f t="shared" si="1"/>
        <v>-0.6674851424854753</v>
      </c>
    </row>
    <row r="25" spans="1:6">
      <c r="A25" s="1">
        <v>0</v>
      </c>
      <c r="B25" s="2">
        <v>50</v>
      </c>
      <c r="C25" s="2">
        <f t="shared" si="3"/>
        <v>5.1000000000000004E-2</v>
      </c>
      <c r="D25">
        <f t="shared" si="2"/>
        <v>1.0523228932832038</v>
      </c>
      <c r="E25">
        <f t="shared" si="0"/>
        <v>0.48725276284388663</v>
      </c>
      <c r="F25">
        <f t="shared" si="1"/>
        <v>-0.71897227033063182</v>
      </c>
    </row>
    <row r="26" spans="1:6">
      <c r="A26" s="1">
        <v>1</v>
      </c>
      <c r="B26" s="2">
        <v>49</v>
      </c>
      <c r="C26" s="2">
        <f t="shared" si="3"/>
        <v>0.05</v>
      </c>
      <c r="D26">
        <f t="shared" si="2"/>
        <v>1.0512710963760241</v>
      </c>
      <c r="E26">
        <f t="shared" si="0"/>
        <v>0.51249739648421033</v>
      </c>
      <c r="F26">
        <f t="shared" si="1"/>
        <v>-0.66845964801328628</v>
      </c>
    </row>
    <row r="27" spans="1:6">
      <c r="A27" s="1">
        <v>1</v>
      </c>
      <c r="B27" s="2">
        <v>49</v>
      </c>
      <c r="C27" s="2">
        <f t="shared" si="3"/>
        <v>0.05</v>
      </c>
      <c r="D27">
        <f t="shared" si="2"/>
        <v>1.0512710963760241</v>
      </c>
      <c r="E27">
        <f t="shared" si="0"/>
        <v>0.51249739648421033</v>
      </c>
      <c r="F27">
        <f t="shared" si="1"/>
        <v>-0.66845964801328628</v>
      </c>
    </row>
    <row r="28" spans="1:6">
      <c r="A28" s="1">
        <v>0</v>
      </c>
      <c r="B28" s="2">
        <v>47</v>
      </c>
      <c r="C28" s="2">
        <f t="shared" si="3"/>
        <v>4.8000000000000001E-2</v>
      </c>
      <c r="D28">
        <f t="shared" si="2"/>
        <v>1.0491706553244706</v>
      </c>
      <c r="E28">
        <f t="shared" si="0"/>
        <v>0.48800230346928208</v>
      </c>
      <c r="F28">
        <f t="shared" si="1"/>
        <v>-0.71743515291619142</v>
      </c>
    </row>
    <row r="29" spans="1:6">
      <c r="A29" s="1">
        <v>0</v>
      </c>
      <c r="B29" s="2">
        <v>47</v>
      </c>
      <c r="C29" s="2">
        <f t="shared" si="3"/>
        <v>4.8000000000000001E-2</v>
      </c>
      <c r="D29">
        <f t="shared" si="2"/>
        <v>1.0491706553244706</v>
      </c>
      <c r="E29">
        <f t="shared" si="0"/>
        <v>0.48800230346928208</v>
      </c>
      <c r="F29">
        <f t="shared" si="1"/>
        <v>-0.71743515291619142</v>
      </c>
    </row>
    <row r="30" spans="1:6">
      <c r="A30" s="1">
        <v>1</v>
      </c>
      <c r="B30" s="2">
        <v>47</v>
      </c>
      <c r="C30" s="2">
        <f t="shared" si="3"/>
        <v>4.8000000000000001E-2</v>
      </c>
      <c r="D30">
        <f t="shared" si="2"/>
        <v>1.0491706553244706</v>
      </c>
      <c r="E30">
        <f t="shared" si="0"/>
        <v>0.51199769653071792</v>
      </c>
      <c r="F30">
        <f t="shared" si="1"/>
        <v>-0.66943515291619116</v>
      </c>
    </row>
    <row r="31" spans="1:6">
      <c r="A31" s="1">
        <v>1</v>
      </c>
      <c r="B31" s="2">
        <v>46</v>
      </c>
      <c r="C31" s="2">
        <f t="shared" si="3"/>
        <v>4.7E-2</v>
      </c>
      <c r="D31">
        <f t="shared" si="2"/>
        <v>1.0481220090796557</v>
      </c>
      <c r="E31">
        <f t="shared" si="0"/>
        <v>0.5117478374985287</v>
      </c>
      <c r="F31">
        <f t="shared" si="1"/>
        <v>-0.66992328014868219</v>
      </c>
    </row>
    <row r="32" spans="1:6">
      <c r="A32" s="1">
        <v>0</v>
      </c>
      <c r="B32" s="2">
        <v>46</v>
      </c>
      <c r="C32" s="2">
        <f t="shared" si="3"/>
        <v>4.7E-2</v>
      </c>
      <c r="D32">
        <f t="shared" si="2"/>
        <v>1.0481220090796557</v>
      </c>
      <c r="E32">
        <f t="shared" si="0"/>
        <v>0.4882521625014713</v>
      </c>
      <c r="F32">
        <f t="shared" si="1"/>
        <v>-0.71692328014868234</v>
      </c>
    </row>
    <row r="33" spans="1:6">
      <c r="A33" s="1">
        <v>0</v>
      </c>
      <c r="B33" s="2">
        <v>42</v>
      </c>
      <c r="C33" s="2">
        <f t="shared" si="3"/>
        <v>4.3000000000000003E-2</v>
      </c>
      <c r="D33">
        <f t="shared" si="2"/>
        <v>1.0439378948506126</v>
      </c>
      <c r="E33">
        <f t="shared" si="0"/>
        <v>0.48925165608962307</v>
      </c>
      <c r="F33">
        <f t="shared" si="1"/>
        <v>-0.71487828775588469</v>
      </c>
    </row>
    <row r="34" spans="1:6">
      <c r="A34" s="1">
        <v>0</v>
      </c>
      <c r="B34" s="2">
        <v>42</v>
      </c>
      <c r="C34" s="2">
        <f t="shared" si="3"/>
        <v>4.3000000000000003E-2</v>
      </c>
      <c r="D34">
        <f t="shared" si="2"/>
        <v>1.0439378948506126</v>
      </c>
      <c r="E34">
        <f t="shared" si="0"/>
        <v>0.48925165608962307</v>
      </c>
      <c r="F34">
        <f t="shared" si="1"/>
        <v>-0.71487828775588469</v>
      </c>
    </row>
    <row r="35" spans="1:6">
      <c r="A35" s="1">
        <v>1</v>
      </c>
      <c r="B35" s="2">
        <v>41</v>
      </c>
      <c r="C35" s="2">
        <f t="shared" si="3"/>
        <v>4.2000000000000003E-2</v>
      </c>
      <c r="D35">
        <f t="shared" si="2"/>
        <v>1.0428944787507632</v>
      </c>
      <c r="E35">
        <f t="shared" si="0"/>
        <v>0.51049845677222483</v>
      </c>
      <c r="F35">
        <f t="shared" si="1"/>
        <v>-0.67236766435510098</v>
      </c>
    </row>
    <row r="36" spans="1:6">
      <c r="A36" s="1">
        <v>1</v>
      </c>
      <c r="B36" s="2">
        <v>41</v>
      </c>
      <c r="C36" s="2">
        <f t="shared" si="3"/>
        <v>4.2000000000000003E-2</v>
      </c>
      <c r="D36">
        <f t="shared" si="2"/>
        <v>1.0428944787507632</v>
      </c>
      <c r="E36">
        <f t="shared" si="0"/>
        <v>0.51049845677222483</v>
      </c>
      <c r="F36">
        <f t="shared" si="1"/>
        <v>-0.67236766435510098</v>
      </c>
    </row>
    <row r="37" spans="1:6">
      <c r="A37" s="1">
        <v>1</v>
      </c>
      <c r="B37" s="2">
        <v>41</v>
      </c>
      <c r="C37" s="2">
        <f t="shared" si="3"/>
        <v>4.2000000000000003E-2</v>
      </c>
      <c r="D37">
        <f t="shared" si="2"/>
        <v>1.0428944787507632</v>
      </c>
      <c r="E37">
        <f t="shared" si="0"/>
        <v>0.51049845677222483</v>
      </c>
      <c r="F37">
        <f t="shared" si="1"/>
        <v>-0.67236766435510098</v>
      </c>
    </row>
    <row r="38" spans="1:6">
      <c r="A38" s="1">
        <v>1</v>
      </c>
      <c r="B38" s="2">
        <v>41</v>
      </c>
      <c r="C38" s="2">
        <f t="shared" si="3"/>
        <v>4.2000000000000003E-2</v>
      </c>
      <c r="D38">
        <f t="shared" si="2"/>
        <v>1.0428944787507632</v>
      </c>
      <c r="E38">
        <f t="shared" si="0"/>
        <v>0.51049845677222483</v>
      </c>
      <c r="F38">
        <f t="shared" si="1"/>
        <v>-0.67236766435510098</v>
      </c>
    </row>
    <row r="39" spans="1:6">
      <c r="A39" s="1">
        <v>0</v>
      </c>
      <c r="B39" s="2">
        <v>41</v>
      </c>
      <c r="C39" s="2">
        <f t="shared" si="3"/>
        <v>4.2000000000000003E-2</v>
      </c>
      <c r="D39">
        <f t="shared" si="2"/>
        <v>1.0428944787507632</v>
      </c>
      <c r="E39">
        <f t="shared" si="0"/>
        <v>0.48950154322777517</v>
      </c>
      <c r="F39">
        <f t="shared" si="1"/>
        <v>-0.71436766435510102</v>
      </c>
    </row>
    <row r="40" spans="1:6">
      <c r="A40" s="1">
        <v>1</v>
      </c>
      <c r="B40" s="2">
        <v>41</v>
      </c>
      <c r="C40" s="2">
        <f t="shared" si="3"/>
        <v>4.2000000000000003E-2</v>
      </c>
      <c r="D40">
        <f t="shared" si="2"/>
        <v>1.0428944787507632</v>
      </c>
      <c r="E40">
        <f t="shared" si="0"/>
        <v>0.51049845677222483</v>
      </c>
      <c r="F40">
        <f t="shared" si="1"/>
        <v>-0.67236766435510098</v>
      </c>
    </row>
    <row r="41" spans="1:6">
      <c r="A41" s="1">
        <v>0</v>
      </c>
      <c r="B41" s="2">
        <v>41</v>
      </c>
      <c r="C41" s="2">
        <f t="shared" si="3"/>
        <v>4.2000000000000003E-2</v>
      </c>
      <c r="D41">
        <f t="shared" si="2"/>
        <v>1.0428944787507632</v>
      </c>
      <c r="E41">
        <f t="shared" si="0"/>
        <v>0.48950154322777517</v>
      </c>
      <c r="F41">
        <f t="shared" si="1"/>
        <v>-0.71436766435510102</v>
      </c>
    </row>
    <row r="42" spans="1:6">
      <c r="A42" s="1">
        <v>1</v>
      </c>
      <c r="B42" s="2">
        <v>41</v>
      </c>
      <c r="C42" s="2">
        <f t="shared" si="3"/>
        <v>4.2000000000000003E-2</v>
      </c>
      <c r="D42">
        <f t="shared" si="2"/>
        <v>1.0428944787507632</v>
      </c>
      <c r="E42">
        <f t="shared" si="0"/>
        <v>0.51049845677222483</v>
      </c>
      <c r="F42">
        <f t="shared" si="1"/>
        <v>-0.67236766435510098</v>
      </c>
    </row>
    <row r="43" spans="1:6">
      <c r="A43" s="1">
        <v>1</v>
      </c>
      <c r="B43" s="2">
        <v>39</v>
      </c>
      <c r="C43" s="2">
        <f t="shared" si="3"/>
        <v>0.04</v>
      </c>
      <c r="D43">
        <f t="shared" si="2"/>
        <v>1.0408107741923882</v>
      </c>
      <c r="E43">
        <f t="shared" si="0"/>
        <v>0.50999866687996553</v>
      </c>
      <c r="F43">
        <f t="shared" si="1"/>
        <v>-0.67334716722803389</v>
      </c>
    </row>
    <row r="44" spans="1:6">
      <c r="A44" s="1">
        <v>1</v>
      </c>
      <c r="B44" s="2">
        <v>39</v>
      </c>
      <c r="C44" s="2">
        <f t="shared" si="3"/>
        <v>0.04</v>
      </c>
      <c r="D44">
        <f t="shared" si="2"/>
        <v>1.0408107741923882</v>
      </c>
      <c r="E44">
        <f t="shared" si="0"/>
        <v>0.50999866687996553</v>
      </c>
      <c r="F44">
        <f t="shared" si="1"/>
        <v>-0.67334716722803389</v>
      </c>
    </row>
    <row r="45" spans="1:6">
      <c r="A45" s="1">
        <v>0</v>
      </c>
      <c r="B45" s="2">
        <v>39</v>
      </c>
      <c r="C45" s="2">
        <f t="shared" si="3"/>
        <v>0.04</v>
      </c>
      <c r="D45">
        <f t="shared" si="2"/>
        <v>1.0408107741923882</v>
      </c>
      <c r="E45">
        <f t="shared" si="0"/>
        <v>0.49000133312003447</v>
      </c>
      <c r="F45">
        <f t="shared" si="1"/>
        <v>-0.71334716722803415</v>
      </c>
    </row>
    <row r="46" spans="1:6">
      <c r="A46" s="1">
        <v>0</v>
      </c>
      <c r="B46" s="2">
        <v>38</v>
      </c>
      <c r="C46" s="2">
        <f t="shared" si="3"/>
        <v>3.9E-2</v>
      </c>
      <c r="D46">
        <f t="shared" si="2"/>
        <v>1.0397704836501578</v>
      </c>
      <c r="E46">
        <f t="shared" si="0"/>
        <v>0.49025123562456197</v>
      </c>
      <c r="F46">
        <f t="shared" si="1"/>
        <v>-0.71283729351199487</v>
      </c>
    </row>
    <row r="47" spans="1:6">
      <c r="A47" s="1">
        <v>0</v>
      </c>
      <c r="B47" s="2">
        <v>37</v>
      </c>
      <c r="C47" s="2">
        <f t="shared" si="3"/>
        <v>3.7999999999999999E-2</v>
      </c>
      <c r="D47">
        <f t="shared" si="2"/>
        <v>1.0387312328784977</v>
      </c>
      <c r="E47">
        <f t="shared" si="0"/>
        <v>0.49050114300161751</v>
      </c>
      <c r="F47">
        <f t="shared" si="1"/>
        <v>-0.71232766970090733</v>
      </c>
    </row>
    <row r="48" spans="1:6">
      <c r="A48" s="1">
        <v>1</v>
      </c>
      <c r="B48" s="2">
        <v>36</v>
      </c>
      <c r="C48" s="2">
        <f t="shared" si="3"/>
        <v>3.7000000000000005E-2</v>
      </c>
      <c r="D48">
        <f t="shared" si="2"/>
        <v>1.0376930208381572</v>
      </c>
      <c r="E48">
        <f t="shared" si="0"/>
        <v>0.50924894487361327</v>
      </c>
      <c r="F48">
        <f t="shared" si="1"/>
        <v>-0.67481829579958086</v>
      </c>
    </row>
    <row r="49" spans="1:6">
      <c r="A49" s="1">
        <v>0</v>
      </c>
      <c r="B49" s="2">
        <v>34</v>
      </c>
      <c r="C49" s="2">
        <f t="shared" si="3"/>
        <v>3.5000000000000003E-2</v>
      </c>
      <c r="D49">
        <f t="shared" si="2"/>
        <v>1.0356197087996233</v>
      </c>
      <c r="E49">
        <f t="shared" si="0"/>
        <v>0.49125089311975956</v>
      </c>
      <c r="F49">
        <f t="shared" si="1"/>
        <v>-0.71080029774482856</v>
      </c>
    </row>
    <row r="50" spans="1:6">
      <c r="A50" s="1">
        <v>1</v>
      </c>
      <c r="B50" s="2">
        <v>34</v>
      </c>
      <c r="C50" s="2">
        <f t="shared" si="3"/>
        <v>3.5000000000000003E-2</v>
      </c>
      <c r="D50">
        <f t="shared" si="2"/>
        <v>1.0356197087996233</v>
      </c>
      <c r="E50">
        <f t="shared" si="0"/>
        <v>0.50874910688024044</v>
      </c>
      <c r="F50">
        <f t="shared" si="1"/>
        <v>-0.67580029774482808</v>
      </c>
    </row>
    <row r="51" spans="1:6">
      <c r="A51" s="1">
        <v>0</v>
      </c>
      <c r="B51" s="2">
        <v>34</v>
      </c>
      <c r="C51" s="2">
        <f t="shared" si="3"/>
        <v>3.5000000000000003E-2</v>
      </c>
      <c r="D51">
        <f t="shared" si="2"/>
        <v>1.0356197087996233</v>
      </c>
      <c r="E51">
        <f t="shared" si="0"/>
        <v>0.49125089311975956</v>
      </c>
      <c r="F51">
        <f t="shared" si="1"/>
        <v>-0.71080029774482856</v>
      </c>
    </row>
    <row r="52" spans="1:6">
      <c r="A52" s="1">
        <v>1</v>
      </c>
      <c r="B52" s="2">
        <v>33</v>
      </c>
      <c r="C52" s="2">
        <f t="shared" si="3"/>
        <v>3.4000000000000002E-2</v>
      </c>
      <c r="D52">
        <f t="shared" si="2"/>
        <v>1.0345846067281179</v>
      </c>
      <c r="E52">
        <f t="shared" si="0"/>
        <v>0.50849918126131266</v>
      </c>
      <c r="F52">
        <f t="shared" si="1"/>
        <v>-0.67629167360039844</v>
      </c>
    </row>
    <row r="53" spans="1:6">
      <c r="A53" s="1">
        <v>1</v>
      </c>
      <c r="B53" s="2">
        <v>33</v>
      </c>
      <c r="C53" s="2">
        <f t="shared" si="3"/>
        <v>3.4000000000000002E-2</v>
      </c>
      <c r="D53">
        <f t="shared" si="2"/>
        <v>1.0345846067281179</v>
      </c>
      <c r="E53">
        <f t="shared" si="0"/>
        <v>0.50849918126131266</v>
      </c>
      <c r="F53">
        <f t="shared" si="1"/>
        <v>-0.67629167360039844</v>
      </c>
    </row>
    <row r="54" spans="1:6">
      <c r="A54" s="1">
        <v>0</v>
      </c>
      <c r="B54" s="2">
        <v>33</v>
      </c>
      <c r="C54" s="2">
        <f t="shared" si="3"/>
        <v>3.4000000000000002E-2</v>
      </c>
      <c r="D54">
        <f t="shared" si="2"/>
        <v>1.0345846067281179</v>
      </c>
      <c r="E54">
        <f t="shared" si="0"/>
        <v>0.49150081873868734</v>
      </c>
      <c r="F54">
        <f t="shared" si="1"/>
        <v>-0.71029167360039813</v>
      </c>
    </row>
    <row r="55" spans="1:6">
      <c r="A55" s="1">
        <v>1</v>
      </c>
      <c r="B55" s="2">
        <v>33</v>
      </c>
      <c r="C55" s="2">
        <f t="shared" si="3"/>
        <v>3.4000000000000002E-2</v>
      </c>
      <c r="D55">
        <f t="shared" si="2"/>
        <v>1.0345846067281179</v>
      </c>
      <c r="E55">
        <f t="shared" si="0"/>
        <v>0.50849918126131266</v>
      </c>
      <c r="F55">
        <f t="shared" si="1"/>
        <v>-0.67629167360039844</v>
      </c>
    </row>
    <row r="56" spans="1:6">
      <c r="A56" s="1">
        <v>0</v>
      </c>
      <c r="B56" s="2">
        <v>33</v>
      </c>
      <c r="C56" s="2">
        <f t="shared" si="3"/>
        <v>3.4000000000000002E-2</v>
      </c>
      <c r="D56">
        <f t="shared" si="2"/>
        <v>1.0345846067281179</v>
      </c>
      <c r="E56">
        <f t="shared" si="0"/>
        <v>0.49150081873868734</v>
      </c>
      <c r="F56">
        <f t="shared" si="1"/>
        <v>-0.71029167360039813</v>
      </c>
    </row>
    <row r="57" spans="1:6">
      <c r="A57" s="1">
        <v>1</v>
      </c>
      <c r="B57" s="2">
        <v>32</v>
      </c>
      <c r="C57" s="2">
        <f t="shared" si="3"/>
        <v>3.3000000000000002E-2</v>
      </c>
      <c r="D57">
        <f t="shared" si="2"/>
        <v>1.0335505392413056</v>
      </c>
      <c r="E57">
        <f t="shared" si="0"/>
        <v>0.5082492513940231</v>
      </c>
      <c r="F57">
        <f t="shared" si="1"/>
        <v>-0.67678329938372184</v>
      </c>
    </row>
    <row r="58" spans="1:6">
      <c r="A58" s="1">
        <v>1</v>
      </c>
      <c r="B58" s="2">
        <v>32</v>
      </c>
      <c r="C58" s="2">
        <f t="shared" si="3"/>
        <v>3.3000000000000002E-2</v>
      </c>
      <c r="D58">
        <f t="shared" si="2"/>
        <v>1.0335505392413056</v>
      </c>
      <c r="E58">
        <f t="shared" si="0"/>
        <v>0.5082492513940231</v>
      </c>
      <c r="F58">
        <f t="shared" si="1"/>
        <v>-0.67678329938372184</v>
      </c>
    </row>
    <row r="59" spans="1:6">
      <c r="A59" s="1">
        <v>1</v>
      </c>
      <c r="B59" s="2">
        <v>32</v>
      </c>
      <c r="C59" s="2">
        <f t="shared" si="3"/>
        <v>3.3000000000000002E-2</v>
      </c>
      <c r="D59">
        <f t="shared" si="2"/>
        <v>1.0335505392413056</v>
      </c>
      <c r="E59">
        <f t="shared" si="0"/>
        <v>0.5082492513940231</v>
      </c>
      <c r="F59">
        <f t="shared" si="1"/>
        <v>-0.67678329938372184</v>
      </c>
    </row>
    <row r="60" spans="1:6">
      <c r="A60" s="1">
        <v>1</v>
      </c>
      <c r="B60" s="2">
        <v>30</v>
      </c>
      <c r="C60" s="2">
        <f t="shared" si="3"/>
        <v>3.1E-2</v>
      </c>
      <c r="D60">
        <f t="shared" si="2"/>
        <v>1.0314855038865227</v>
      </c>
      <c r="E60">
        <f t="shared" si="0"/>
        <v>0.50774937941380494</v>
      </c>
      <c r="F60">
        <f t="shared" si="1"/>
        <v>-0.67776730075024827</v>
      </c>
    </row>
    <row r="61" spans="1:6">
      <c r="A61" s="1">
        <v>0</v>
      </c>
      <c r="B61" s="2">
        <v>30</v>
      </c>
      <c r="C61" s="2">
        <f t="shared" si="3"/>
        <v>3.1E-2</v>
      </c>
      <c r="D61">
        <f t="shared" si="2"/>
        <v>1.0314855038865227</v>
      </c>
      <c r="E61">
        <f t="shared" si="0"/>
        <v>0.49225062058619506</v>
      </c>
      <c r="F61">
        <f t="shared" si="1"/>
        <v>-0.7087673007502483</v>
      </c>
    </row>
    <row r="62" spans="1:6">
      <c r="A62" s="1">
        <v>0</v>
      </c>
      <c r="B62" s="2">
        <v>30</v>
      </c>
      <c r="C62" s="2">
        <f t="shared" si="3"/>
        <v>3.1E-2</v>
      </c>
      <c r="D62">
        <f t="shared" si="2"/>
        <v>1.0314855038865227</v>
      </c>
      <c r="E62">
        <f t="shared" si="0"/>
        <v>0.49225062058619506</v>
      </c>
      <c r="F62">
        <f t="shared" si="1"/>
        <v>-0.7087673007502483</v>
      </c>
    </row>
    <row r="63" spans="1:6">
      <c r="A63" s="1">
        <v>1</v>
      </c>
      <c r="B63" s="2">
        <v>29</v>
      </c>
      <c r="C63" s="2">
        <f t="shared" si="3"/>
        <v>3.0000000000000002E-2</v>
      </c>
      <c r="D63">
        <f t="shared" si="2"/>
        <v>1.0304545339535169</v>
      </c>
      <c r="E63">
        <f t="shared" si="0"/>
        <v>0.50749943755062044</v>
      </c>
      <c r="F63">
        <f t="shared" si="1"/>
        <v>-0.67825967634144835</v>
      </c>
    </row>
    <row r="64" spans="1:6">
      <c r="A64" s="1">
        <v>1</v>
      </c>
      <c r="B64" s="2">
        <v>29</v>
      </c>
      <c r="C64" s="2">
        <f t="shared" si="3"/>
        <v>3.0000000000000002E-2</v>
      </c>
      <c r="D64">
        <f t="shared" si="2"/>
        <v>1.0304545339535169</v>
      </c>
      <c r="E64">
        <f t="shared" si="0"/>
        <v>0.50749943755062044</v>
      </c>
      <c r="F64">
        <f t="shared" si="1"/>
        <v>-0.67825967634144835</v>
      </c>
    </row>
    <row r="65" spans="1:6">
      <c r="A65" s="1">
        <v>0</v>
      </c>
      <c r="B65" s="2">
        <v>29</v>
      </c>
      <c r="C65" s="2">
        <f t="shared" si="3"/>
        <v>3.0000000000000002E-2</v>
      </c>
      <c r="D65">
        <f t="shared" si="2"/>
        <v>1.0304545339535169</v>
      </c>
      <c r="E65">
        <f t="shared" si="0"/>
        <v>0.49250056244937956</v>
      </c>
      <c r="F65">
        <f t="shared" si="1"/>
        <v>-0.70825967634144849</v>
      </c>
    </row>
    <row r="66" spans="1:6">
      <c r="A66" s="1">
        <v>0</v>
      </c>
      <c r="B66" s="2">
        <v>28</v>
      </c>
      <c r="C66" s="2">
        <f t="shared" si="3"/>
        <v>2.9000000000000001E-2</v>
      </c>
      <c r="D66">
        <f t="shared" si="2"/>
        <v>1.0294245944751308</v>
      </c>
      <c r="E66">
        <f t="shared" si="0"/>
        <v>0.49275050806143883</v>
      </c>
      <c r="F66">
        <f t="shared" si="1"/>
        <v>-0.70775230187639648</v>
      </c>
    </row>
    <row r="67" spans="1:6">
      <c r="A67" s="1">
        <v>0</v>
      </c>
      <c r="B67" s="2">
        <v>28</v>
      </c>
      <c r="C67" s="2">
        <f t="shared" si="3"/>
        <v>2.9000000000000001E-2</v>
      </c>
      <c r="D67">
        <f t="shared" si="2"/>
        <v>1.0294245944751308</v>
      </c>
      <c r="E67">
        <f t="shared" ref="E67:E130" si="4">IF(A67=1,D67/(1+D67),1-(D67/(1+D67)))</f>
        <v>0.49275050806143883</v>
      </c>
      <c r="F67">
        <f t="shared" ref="F67:F130" si="5">LN(E67)</f>
        <v>-0.70775230187639648</v>
      </c>
    </row>
    <row r="68" spans="1:6">
      <c r="A68" s="1">
        <v>0</v>
      </c>
      <c r="B68" s="2">
        <v>28</v>
      </c>
      <c r="C68" s="2">
        <f t="shared" si="3"/>
        <v>2.9000000000000001E-2</v>
      </c>
      <c r="D68">
        <f t="shared" si="2"/>
        <v>1.0294245944751308</v>
      </c>
      <c r="E68">
        <f t="shared" si="4"/>
        <v>0.49275050806143883</v>
      </c>
      <c r="F68">
        <f t="shared" si="5"/>
        <v>-0.70775230187639648</v>
      </c>
    </row>
    <row r="69" spans="1:6">
      <c r="A69" s="1">
        <v>0</v>
      </c>
      <c r="B69" s="2">
        <v>28</v>
      </c>
      <c r="C69" s="2">
        <f t="shared" si="3"/>
        <v>2.9000000000000001E-2</v>
      </c>
      <c r="D69">
        <f t="shared" ref="D69:D132" si="6">EXP(C69)</f>
        <v>1.0294245944751308</v>
      </c>
      <c r="E69">
        <f t="shared" si="4"/>
        <v>0.49275050806143883</v>
      </c>
      <c r="F69">
        <f t="shared" si="5"/>
        <v>-0.70775230187639648</v>
      </c>
    </row>
    <row r="70" spans="1:6">
      <c r="A70" s="1">
        <v>1</v>
      </c>
      <c r="B70" s="2">
        <v>28</v>
      </c>
      <c r="C70" s="2">
        <f t="shared" ref="C70:C133" si="7">$B$146+$B$147*B70</f>
        <v>2.9000000000000001E-2</v>
      </c>
      <c r="D70">
        <f t="shared" si="6"/>
        <v>1.0294245944751308</v>
      </c>
      <c r="E70">
        <f t="shared" si="4"/>
        <v>0.50724949193856117</v>
      </c>
      <c r="F70">
        <f t="shared" si="5"/>
        <v>-0.67875230187639679</v>
      </c>
    </row>
    <row r="71" spans="1:6">
      <c r="A71" s="1">
        <v>0</v>
      </c>
      <c r="B71" s="2">
        <v>28</v>
      </c>
      <c r="C71" s="2">
        <f t="shared" si="7"/>
        <v>2.9000000000000001E-2</v>
      </c>
      <c r="D71">
        <f t="shared" si="6"/>
        <v>1.0294245944751308</v>
      </c>
      <c r="E71">
        <f t="shared" si="4"/>
        <v>0.49275050806143883</v>
      </c>
      <c r="F71">
        <f t="shared" si="5"/>
        <v>-0.70775230187639648</v>
      </c>
    </row>
    <row r="72" spans="1:6">
      <c r="A72" s="1">
        <v>1</v>
      </c>
      <c r="B72" s="2">
        <v>26</v>
      </c>
      <c r="C72" s="2">
        <f t="shared" si="7"/>
        <v>2.7000000000000003E-2</v>
      </c>
      <c r="D72">
        <f t="shared" si="6"/>
        <v>1.0273678027634894</v>
      </c>
      <c r="E72">
        <f t="shared" si="4"/>
        <v>0.50674958996739139</v>
      </c>
      <c r="F72">
        <f t="shared" si="5"/>
        <v>-0.67973830279215786</v>
      </c>
    </row>
    <row r="73" spans="1:6">
      <c r="A73" s="1">
        <v>1</v>
      </c>
      <c r="B73" s="2">
        <v>26</v>
      </c>
      <c r="C73" s="2">
        <f t="shared" si="7"/>
        <v>2.7000000000000003E-2</v>
      </c>
      <c r="D73">
        <f t="shared" si="6"/>
        <v>1.0273678027634894</v>
      </c>
      <c r="E73">
        <f t="shared" si="4"/>
        <v>0.50674958996739139</v>
      </c>
      <c r="F73">
        <f t="shared" si="5"/>
        <v>-0.67973830279215786</v>
      </c>
    </row>
    <row r="74" spans="1:6">
      <c r="A74" s="1">
        <v>1</v>
      </c>
      <c r="B74" s="2">
        <v>26</v>
      </c>
      <c r="C74" s="2">
        <f t="shared" si="7"/>
        <v>2.7000000000000003E-2</v>
      </c>
      <c r="D74">
        <f t="shared" si="6"/>
        <v>1.0273678027634894</v>
      </c>
      <c r="E74">
        <f t="shared" si="4"/>
        <v>0.50674958996739139</v>
      </c>
      <c r="F74">
        <f t="shared" si="5"/>
        <v>-0.67973830279215786</v>
      </c>
    </row>
    <row r="75" spans="1:6">
      <c r="A75" s="1">
        <v>0</v>
      </c>
      <c r="B75" s="2">
        <v>26</v>
      </c>
      <c r="C75" s="2">
        <f t="shared" si="7"/>
        <v>2.7000000000000003E-2</v>
      </c>
      <c r="D75">
        <f t="shared" si="6"/>
        <v>1.0273678027634894</v>
      </c>
      <c r="E75">
        <f t="shared" si="4"/>
        <v>0.49325041003260861</v>
      </c>
      <c r="F75">
        <f t="shared" si="5"/>
        <v>-0.70673830279215799</v>
      </c>
    </row>
    <row r="76" spans="1:6">
      <c r="A76" s="1">
        <v>0</v>
      </c>
      <c r="B76" s="2">
        <v>25</v>
      </c>
      <c r="C76" s="2">
        <f t="shared" si="7"/>
        <v>2.6000000000000002E-2</v>
      </c>
      <c r="D76">
        <f t="shared" si="6"/>
        <v>1.026340948473442</v>
      </c>
      <c r="E76">
        <f t="shared" si="4"/>
        <v>0.49350036614191561</v>
      </c>
      <c r="F76">
        <f t="shared" si="5"/>
        <v>-0.70623167817996901</v>
      </c>
    </row>
    <row r="77" spans="1:6">
      <c r="A77" s="1">
        <v>0</v>
      </c>
      <c r="B77" s="2">
        <v>25</v>
      </c>
      <c r="C77" s="2">
        <f t="shared" si="7"/>
        <v>2.6000000000000002E-2</v>
      </c>
      <c r="D77">
        <f t="shared" si="6"/>
        <v>1.026340948473442</v>
      </c>
      <c r="E77">
        <f t="shared" si="4"/>
        <v>0.49350036614191561</v>
      </c>
      <c r="F77">
        <f t="shared" si="5"/>
        <v>-0.70623167817996901</v>
      </c>
    </row>
    <row r="78" spans="1:6">
      <c r="A78" s="1">
        <v>0</v>
      </c>
      <c r="B78" s="2">
        <v>25</v>
      </c>
      <c r="C78" s="2">
        <f t="shared" si="7"/>
        <v>2.6000000000000002E-2</v>
      </c>
      <c r="D78">
        <f t="shared" si="6"/>
        <v>1.026340948473442</v>
      </c>
      <c r="E78">
        <f t="shared" si="4"/>
        <v>0.49350036614191561</v>
      </c>
      <c r="F78">
        <f t="shared" si="5"/>
        <v>-0.70623167817996901</v>
      </c>
    </row>
    <row r="79" spans="1:6">
      <c r="A79" s="1">
        <v>0</v>
      </c>
      <c r="B79" s="2">
        <v>25</v>
      </c>
      <c r="C79" s="2">
        <f t="shared" si="7"/>
        <v>2.6000000000000002E-2</v>
      </c>
      <c r="D79">
        <f t="shared" si="6"/>
        <v>1.026340948473442</v>
      </c>
      <c r="E79">
        <f t="shared" si="4"/>
        <v>0.49350036614191561</v>
      </c>
      <c r="F79">
        <f t="shared" si="5"/>
        <v>-0.70623167817996901</v>
      </c>
    </row>
    <row r="80" spans="1:6">
      <c r="A80" s="1">
        <v>0</v>
      </c>
      <c r="B80" s="2">
        <v>25</v>
      </c>
      <c r="C80" s="2">
        <f t="shared" si="7"/>
        <v>2.6000000000000002E-2</v>
      </c>
      <c r="D80">
        <f t="shared" si="6"/>
        <v>1.026340948473442</v>
      </c>
      <c r="E80">
        <f t="shared" si="4"/>
        <v>0.49350036614191561</v>
      </c>
      <c r="F80">
        <f t="shared" si="5"/>
        <v>-0.70623167817996901</v>
      </c>
    </row>
    <row r="81" spans="1:6">
      <c r="A81" s="1">
        <v>0</v>
      </c>
      <c r="B81" s="2">
        <v>24</v>
      </c>
      <c r="C81" s="2">
        <f t="shared" si="7"/>
        <v>2.5000000000000001E-2</v>
      </c>
      <c r="D81">
        <f t="shared" si="6"/>
        <v>1.0253151205244289</v>
      </c>
      <c r="E81">
        <f t="shared" si="4"/>
        <v>0.49375032550048947</v>
      </c>
      <c r="F81">
        <f t="shared" si="5"/>
        <v>-0.70572530352552509</v>
      </c>
    </row>
    <row r="82" spans="1:6">
      <c r="A82" s="1">
        <v>0</v>
      </c>
      <c r="B82" s="2">
        <v>24</v>
      </c>
      <c r="C82" s="2">
        <f t="shared" si="7"/>
        <v>2.5000000000000001E-2</v>
      </c>
      <c r="D82">
        <f t="shared" si="6"/>
        <v>1.0253151205244289</v>
      </c>
      <c r="E82">
        <f t="shared" si="4"/>
        <v>0.49375032550048947</v>
      </c>
      <c r="F82">
        <f t="shared" si="5"/>
        <v>-0.70572530352552509</v>
      </c>
    </row>
    <row r="83" spans="1:6">
      <c r="A83" s="1">
        <v>0</v>
      </c>
      <c r="B83" s="2">
        <v>24</v>
      </c>
      <c r="C83" s="2">
        <f t="shared" si="7"/>
        <v>2.5000000000000001E-2</v>
      </c>
      <c r="D83">
        <f t="shared" si="6"/>
        <v>1.0253151205244289</v>
      </c>
      <c r="E83">
        <f t="shared" si="4"/>
        <v>0.49375032550048947</v>
      </c>
      <c r="F83">
        <f t="shared" si="5"/>
        <v>-0.70572530352552509</v>
      </c>
    </row>
    <row r="84" spans="1:6">
      <c r="A84" s="1">
        <v>0</v>
      </c>
      <c r="B84" s="2">
        <v>24</v>
      </c>
      <c r="C84" s="2">
        <f t="shared" si="7"/>
        <v>2.5000000000000001E-2</v>
      </c>
      <c r="D84">
        <f t="shared" si="6"/>
        <v>1.0253151205244289</v>
      </c>
      <c r="E84">
        <f t="shared" si="4"/>
        <v>0.49375032550048947</v>
      </c>
      <c r="F84">
        <f t="shared" si="5"/>
        <v>-0.70572530352552509</v>
      </c>
    </row>
    <row r="85" spans="1:6">
      <c r="A85" s="1">
        <v>1</v>
      </c>
      <c r="B85" s="2">
        <v>22</v>
      </c>
      <c r="C85" s="2">
        <f t="shared" si="7"/>
        <v>2.3E-2</v>
      </c>
      <c r="D85">
        <f t="shared" si="6"/>
        <v>1.0232665395472176</v>
      </c>
      <c r="E85">
        <f t="shared" si="4"/>
        <v>0.50574974653424165</v>
      </c>
      <c r="F85">
        <f t="shared" si="5"/>
        <v>-0.68171330410249154</v>
      </c>
    </row>
    <row r="86" spans="1:6">
      <c r="A86" s="1">
        <v>0</v>
      </c>
      <c r="B86" s="2">
        <v>22</v>
      </c>
      <c r="C86" s="2">
        <f t="shared" si="7"/>
        <v>2.3E-2</v>
      </c>
      <c r="D86">
        <f t="shared" si="6"/>
        <v>1.0232665395472176</v>
      </c>
      <c r="E86">
        <f t="shared" si="4"/>
        <v>0.49425025346575835</v>
      </c>
      <c r="F86">
        <f t="shared" si="5"/>
        <v>-0.70471330410249144</v>
      </c>
    </row>
    <row r="87" spans="1:6">
      <c r="A87" s="1">
        <v>1</v>
      </c>
      <c r="B87" s="2">
        <v>22</v>
      </c>
      <c r="C87" s="2">
        <f t="shared" si="7"/>
        <v>2.3E-2</v>
      </c>
      <c r="D87">
        <f t="shared" si="6"/>
        <v>1.0232665395472176</v>
      </c>
      <c r="E87">
        <f t="shared" si="4"/>
        <v>0.50574974653424165</v>
      </c>
      <c r="F87">
        <f t="shared" si="5"/>
        <v>-0.68171330410249154</v>
      </c>
    </row>
    <row r="88" spans="1:6">
      <c r="A88" s="1">
        <v>1</v>
      </c>
      <c r="B88" s="2">
        <v>22</v>
      </c>
      <c r="C88" s="2">
        <f t="shared" si="7"/>
        <v>2.3E-2</v>
      </c>
      <c r="D88">
        <f t="shared" si="6"/>
        <v>1.0232665395472176</v>
      </c>
      <c r="E88">
        <f t="shared" si="4"/>
        <v>0.50574974653424165</v>
      </c>
      <c r="F88">
        <f t="shared" si="5"/>
        <v>-0.68171330410249154</v>
      </c>
    </row>
    <row r="89" spans="1:6">
      <c r="A89" s="1">
        <v>1</v>
      </c>
      <c r="B89" s="2">
        <v>21</v>
      </c>
      <c r="C89" s="2">
        <f t="shared" si="7"/>
        <v>2.2000000000000002E-2</v>
      </c>
      <c r="D89">
        <f t="shared" si="6"/>
        <v>1.0222437844704382</v>
      </c>
      <c r="E89">
        <f t="shared" si="4"/>
        <v>0.50549977817740277</v>
      </c>
      <c r="F89">
        <f t="shared" si="5"/>
        <v>-0.68220767933990156</v>
      </c>
    </row>
    <row r="90" spans="1:6">
      <c r="A90" s="1">
        <v>0</v>
      </c>
      <c r="B90" s="2">
        <v>21</v>
      </c>
      <c r="C90" s="2">
        <f t="shared" si="7"/>
        <v>2.2000000000000002E-2</v>
      </c>
      <c r="D90">
        <f t="shared" si="6"/>
        <v>1.0222437844704382</v>
      </c>
      <c r="E90">
        <f t="shared" si="4"/>
        <v>0.49450022182259723</v>
      </c>
      <c r="F90">
        <f t="shared" si="5"/>
        <v>-0.70420767933990114</v>
      </c>
    </row>
    <row r="91" spans="1:6">
      <c r="A91" s="1">
        <v>0</v>
      </c>
      <c r="B91" s="2">
        <v>18</v>
      </c>
      <c r="C91" s="2">
        <f t="shared" si="7"/>
        <v>1.9000000000000003E-2</v>
      </c>
      <c r="D91">
        <f t="shared" si="6"/>
        <v>1.0191816486174081</v>
      </c>
      <c r="E91">
        <f t="shared" si="4"/>
        <v>0.49525014289067504</v>
      </c>
      <c r="F91">
        <f t="shared" si="5"/>
        <v>-0.70269230488120638</v>
      </c>
    </row>
    <row r="92" spans="1:6">
      <c r="A92" s="1">
        <v>0</v>
      </c>
      <c r="B92" s="2">
        <v>18</v>
      </c>
      <c r="C92" s="2">
        <f t="shared" si="7"/>
        <v>1.9000000000000003E-2</v>
      </c>
      <c r="D92">
        <f t="shared" si="6"/>
        <v>1.0191816486174081</v>
      </c>
      <c r="E92">
        <f t="shared" si="4"/>
        <v>0.49525014289067504</v>
      </c>
      <c r="F92">
        <f t="shared" si="5"/>
        <v>-0.70269230488120638</v>
      </c>
    </row>
    <row r="93" spans="1:6">
      <c r="A93" s="1">
        <v>0</v>
      </c>
      <c r="B93" s="2">
        <v>18</v>
      </c>
      <c r="C93" s="2">
        <f t="shared" si="7"/>
        <v>1.9000000000000003E-2</v>
      </c>
      <c r="D93">
        <f t="shared" si="6"/>
        <v>1.0191816486174081</v>
      </c>
      <c r="E93">
        <f t="shared" si="4"/>
        <v>0.49525014289067504</v>
      </c>
      <c r="F93">
        <f t="shared" si="5"/>
        <v>-0.70269230488120638</v>
      </c>
    </row>
    <row r="94" spans="1:6">
      <c r="A94" s="1">
        <v>0</v>
      </c>
      <c r="B94" s="2">
        <v>18</v>
      </c>
      <c r="C94" s="2">
        <f t="shared" si="7"/>
        <v>1.9000000000000003E-2</v>
      </c>
      <c r="D94">
        <f t="shared" si="6"/>
        <v>1.0191816486174081</v>
      </c>
      <c r="E94">
        <f t="shared" si="4"/>
        <v>0.49525014289067504</v>
      </c>
      <c r="F94">
        <f t="shared" si="5"/>
        <v>-0.70269230488120638</v>
      </c>
    </row>
    <row r="95" spans="1:6">
      <c r="A95" s="1">
        <v>0</v>
      </c>
      <c r="B95" s="2">
        <v>18</v>
      </c>
      <c r="C95" s="2">
        <f t="shared" si="7"/>
        <v>1.9000000000000003E-2</v>
      </c>
      <c r="D95">
        <f t="shared" si="6"/>
        <v>1.0191816486174081</v>
      </c>
      <c r="E95">
        <f t="shared" si="4"/>
        <v>0.49525014289067504</v>
      </c>
      <c r="F95">
        <f t="shared" si="5"/>
        <v>-0.70269230488120638</v>
      </c>
    </row>
    <row r="96" spans="1:6">
      <c r="A96" s="1">
        <v>0</v>
      </c>
      <c r="B96" s="2">
        <v>18</v>
      </c>
      <c r="C96" s="2">
        <f t="shared" si="7"/>
        <v>1.9000000000000003E-2</v>
      </c>
      <c r="D96">
        <f t="shared" si="6"/>
        <v>1.0191816486174081</v>
      </c>
      <c r="E96">
        <f t="shared" si="4"/>
        <v>0.49525014289067504</v>
      </c>
      <c r="F96">
        <f t="shared" si="5"/>
        <v>-0.70269230488120638</v>
      </c>
    </row>
    <row r="97" spans="1:6">
      <c r="A97" s="1">
        <v>0</v>
      </c>
      <c r="B97" s="2">
        <v>18</v>
      </c>
      <c r="C97" s="2">
        <f t="shared" si="7"/>
        <v>1.9000000000000003E-2</v>
      </c>
      <c r="D97">
        <f t="shared" si="6"/>
        <v>1.0191816486174081</v>
      </c>
      <c r="E97">
        <f t="shared" si="4"/>
        <v>0.49525014289067504</v>
      </c>
      <c r="F97">
        <f t="shared" si="5"/>
        <v>-0.70269230488120638</v>
      </c>
    </row>
    <row r="98" spans="1:6">
      <c r="A98" s="1">
        <v>0</v>
      </c>
      <c r="B98" s="2">
        <v>18</v>
      </c>
      <c r="C98" s="2">
        <f t="shared" si="7"/>
        <v>1.9000000000000003E-2</v>
      </c>
      <c r="D98">
        <f t="shared" si="6"/>
        <v>1.0191816486174081</v>
      </c>
      <c r="E98">
        <f t="shared" si="4"/>
        <v>0.49525014289067504</v>
      </c>
      <c r="F98">
        <f t="shared" si="5"/>
        <v>-0.70269230488120638</v>
      </c>
    </row>
    <row r="99" spans="1:6">
      <c r="A99" s="1">
        <v>0</v>
      </c>
      <c r="B99" s="2">
        <v>18</v>
      </c>
      <c r="C99" s="2">
        <f t="shared" si="7"/>
        <v>1.9000000000000003E-2</v>
      </c>
      <c r="D99">
        <f t="shared" si="6"/>
        <v>1.0191816486174081</v>
      </c>
      <c r="E99">
        <f t="shared" si="4"/>
        <v>0.49525014289067504</v>
      </c>
      <c r="F99">
        <f t="shared" si="5"/>
        <v>-0.70269230488120638</v>
      </c>
    </row>
    <row r="100" spans="1:6">
      <c r="A100" s="1">
        <v>0</v>
      </c>
      <c r="B100" s="2">
        <v>17</v>
      </c>
      <c r="C100" s="2">
        <f t="shared" si="7"/>
        <v>1.8000000000000002E-2</v>
      </c>
      <c r="D100">
        <f t="shared" si="6"/>
        <v>1.0181629763897937</v>
      </c>
      <c r="E100">
        <f t="shared" si="4"/>
        <v>0.49550012149606359</v>
      </c>
      <c r="F100">
        <f t="shared" si="5"/>
        <v>-0.70218768001320697</v>
      </c>
    </row>
    <row r="101" spans="1:6">
      <c r="A101" s="1">
        <v>0</v>
      </c>
      <c r="B101" s="2">
        <v>17</v>
      </c>
      <c r="C101" s="2">
        <f t="shared" si="7"/>
        <v>1.8000000000000002E-2</v>
      </c>
      <c r="D101">
        <f t="shared" si="6"/>
        <v>1.0181629763897937</v>
      </c>
      <c r="E101">
        <f t="shared" si="4"/>
        <v>0.49550012149606359</v>
      </c>
      <c r="F101">
        <f t="shared" si="5"/>
        <v>-0.70218768001320697</v>
      </c>
    </row>
    <row r="102" spans="1:6">
      <c r="A102" s="1">
        <v>0</v>
      </c>
      <c r="B102" s="2">
        <v>17</v>
      </c>
      <c r="C102" s="2">
        <f t="shared" si="7"/>
        <v>1.8000000000000002E-2</v>
      </c>
      <c r="D102">
        <f t="shared" si="6"/>
        <v>1.0181629763897937</v>
      </c>
      <c r="E102">
        <f t="shared" si="4"/>
        <v>0.49550012149606359</v>
      </c>
      <c r="F102">
        <f t="shared" si="5"/>
        <v>-0.70218768001320697</v>
      </c>
    </row>
    <row r="103" spans="1:6">
      <c r="A103" s="1">
        <v>0</v>
      </c>
      <c r="B103" s="2">
        <v>17</v>
      </c>
      <c r="C103" s="2">
        <f t="shared" si="7"/>
        <v>1.8000000000000002E-2</v>
      </c>
      <c r="D103">
        <f t="shared" si="6"/>
        <v>1.0181629763897937</v>
      </c>
      <c r="E103">
        <f t="shared" si="4"/>
        <v>0.49550012149606359</v>
      </c>
      <c r="F103">
        <f t="shared" si="5"/>
        <v>-0.70218768001320697</v>
      </c>
    </row>
    <row r="104" spans="1:6">
      <c r="A104" s="1">
        <v>1</v>
      </c>
      <c r="B104" s="2">
        <v>17</v>
      </c>
      <c r="C104" s="2">
        <f t="shared" si="7"/>
        <v>1.8000000000000002E-2</v>
      </c>
      <c r="D104">
        <f t="shared" si="6"/>
        <v>1.0181629763897937</v>
      </c>
      <c r="E104">
        <f t="shared" si="4"/>
        <v>0.50449987850393641</v>
      </c>
      <c r="F104">
        <f t="shared" si="5"/>
        <v>-0.68418768001320729</v>
      </c>
    </row>
    <row r="105" spans="1:6">
      <c r="A105" s="1">
        <v>0</v>
      </c>
      <c r="B105" s="2">
        <v>16</v>
      </c>
      <c r="C105" s="2">
        <f t="shared" si="7"/>
        <v>1.7000000000000001E-2</v>
      </c>
      <c r="D105">
        <f t="shared" si="6"/>
        <v>1.0171453223252407</v>
      </c>
      <c r="E105">
        <f t="shared" si="4"/>
        <v>0.49575010235120864</v>
      </c>
      <c r="F105">
        <f t="shared" si="5"/>
        <v>-0.70168330512494859</v>
      </c>
    </row>
    <row r="106" spans="1:6">
      <c r="A106" s="1">
        <v>0</v>
      </c>
      <c r="B106" s="2">
        <v>16</v>
      </c>
      <c r="C106" s="2">
        <f t="shared" si="7"/>
        <v>1.7000000000000001E-2</v>
      </c>
      <c r="D106">
        <f t="shared" si="6"/>
        <v>1.0171453223252407</v>
      </c>
      <c r="E106">
        <f t="shared" si="4"/>
        <v>0.49575010235120864</v>
      </c>
      <c r="F106">
        <f t="shared" si="5"/>
        <v>-0.70168330512494859</v>
      </c>
    </row>
    <row r="107" spans="1:6">
      <c r="A107" s="1">
        <v>1</v>
      </c>
      <c r="B107" s="2">
        <v>14</v>
      </c>
      <c r="C107" s="2">
        <f t="shared" si="7"/>
        <v>1.4999999999999999E-2</v>
      </c>
      <c r="D107">
        <f t="shared" si="6"/>
        <v>1.0151130646157189</v>
      </c>
      <c r="E107">
        <f t="shared" si="4"/>
        <v>0.50374992968908194</v>
      </c>
      <c r="F107">
        <f t="shared" si="5"/>
        <v>-0.68567530529627752</v>
      </c>
    </row>
    <row r="108" spans="1:6">
      <c r="A108" s="1">
        <v>1</v>
      </c>
      <c r="B108" s="2">
        <v>14</v>
      </c>
      <c r="C108" s="2">
        <f t="shared" si="7"/>
        <v>1.4999999999999999E-2</v>
      </c>
      <c r="D108">
        <f t="shared" si="6"/>
        <v>1.0151130646157189</v>
      </c>
      <c r="E108">
        <f t="shared" si="4"/>
        <v>0.50374992968908194</v>
      </c>
      <c r="F108">
        <f t="shared" si="5"/>
        <v>-0.68567530529627752</v>
      </c>
    </row>
    <row r="109" spans="1:6">
      <c r="A109" s="1">
        <v>0</v>
      </c>
      <c r="B109" s="2">
        <v>13</v>
      </c>
      <c r="C109" s="2">
        <f t="shared" si="7"/>
        <v>1.4000000000000002E-2</v>
      </c>
      <c r="D109">
        <f t="shared" si="6"/>
        <v>1.0140984589384923</v>
      </c>
      <c r="E109">
        <f t="shared" si="4"/>
        <v>0.49650005716554624</v>
      </c>
      <c r="F109">
        <f t="shared" si="5"/>
        <v>-0.70017168035986455</v>
      </c>
    </row>
    <row r="110" spans="1:6">
      <c r="A110" s="1">
        <v>0</v>
      </c>
      <c r="B110" s="2">
        <v>13</v>
      </c>
      <c r="C110" s="2">
        <f t="shared" si="7"/>
        <v>1.4000000000000002E-2</v>
      </c>
      <c r="D110">
        <f t="shared" si="6"/>
        <v>1.0140984589384923</v>
      </c>
      <c r="E110">
        <f t="shared" si="4"/>
        <v>0.49650005716554624</v>
      </c>
      <c r="F110">
        <f t="shared" si="5"/>
        <v>-0.70017168035986455</v>
      </c>
    </row>
    <row r="111" spans="1:6">
      <c r="A111" s="1">
        <v>0</v>
      </c>
      <c r="B111" s="2">
        <v>13</v>
      </c>
      <c r="C111" s="2">
        <f t="shared" si="7"/>
        <v>1.4000000000000002E-2</v>
      </c>
      <c r="D111">
        <f t="shared" si="6"/>
        <v>1.0140984589384923</v>
      </c>
      <c r="E111">
        <f t="shared" si="4"/>
        <v>0.49650005716554624</v>
      </c>
      <c r="F111">
        <f t="shared" si="5"/>
        <v>-0.70017168035986455</v>
      </c>
    </row>
    <row r="112" spans="1:6">
      <c r="A112" s="1">
        <v>0</v>
      </c>
      <c r="B112" s="2">
        <v>13</v>
      </c>
      <c r="C112" s="2">
        <f t="shared" si="7"/>
        <v>1.4000000000000002E-2</v>
      </c>
      <c r="D112">
        <f t="shared" si="6"/>
        <v>1.0140984589384923</v>
      </c>
      <c r="E112">
        <f t="shared" si="4"/>
        <v>0.49650005716554624</v>
      </c>
      <c r="F112">
        <f t="shared" si="5"/>
        <v>-0.70017168035986455</v>
      </c>
    </row>
    <row r="113" spans="1:6">
      <c r="A113" s="1">
        <v>0</v>
      </c>
      <c r="B113" s="2">
        <v>12</v>
      </c>
      <c r="C113" s="2">
        <f t="shared" si="7"/>
        <v>1.3000000000000001E-2</v>
      </c>
      <c r="D113">
        <f t="shared" si="6"/>
        <v>1.0130848673598092</v>
      </c>
      <c r="E113">
        <f t="shared" si="4"/>
        <v>0.49675004577005977</v>
      </c>
      <c r="F113">
        <f t="shared" si="5"/>
        <v>-0.69966830541119185</v>
      </c>
    </row>
    <row r="114" spans="1:6">
      <c r="A114" s="1">
        <v>0</v>
      </c>
      <c r="B114" s="2">
        <v>11</v>
      </c>
      <c r="C114" s="2">
        <f t="shared" si="7"/>
        <v>1.2E-2</v>
      </c>
      <c r="D114">
        <f t="shared" si="6"/>
        <v>1.0120722888660778</v>
      </c>
      <c r="E114">
        <f t="shared" si="4"/>
        <v>0.4970000359994815</v>
      </c>
      <c r="F114">
        <f t="shared" si="5"/>
        <v>-0.69916518045194653</v>
      </c>
    </row>
    <row r="115" spans="1:6">
      <c r="A115" s="1">
        <v>0</v>
      </c>
      <c r="B115" s="2">
        <v>11</v>
      </c>
      <c r="C115" s="2">
        <f t="shared" si="7"/>
        <v>1.2E-2</v>
      </c>
      <c r="D115">
        <f t="shared" si="6"/>
        <v>1.0120722888660778</v>
      </c>
      <c r="E115">
        <f t="shared" si="4"/>
        <v>0.4970000359994815</v>
      </c>
      <c r="F115">
        <f t="shared" si="5"/>
        <v>-0.69916518045194653</v>
      </c>
    </row>
    <row r="116" spans="1:6">
      <c r="A116" s="1">
        <v>0</v>
      </c>
      <c r="B116" s="2">
        <v>11</v>
      </c>
      <c r="C116" s="2">
        <f t="shared" si="7"/>
        <v>1.2E-2</v>
      </c>
      <c r="D116">
        <f t="shared" si="6"/>
        <v>1.0120722888660778</v>
      </c>
      <c r="E116">
        <f t="shared" si="4"/>
        <v>0.4970000359994815</v>
      </c>
      <c r="F116">
        <f t="shared" si="5"/>
        <v>-0.69916518045194653</v>
      </c>
    </row>
    <row r="117" spans="1:6">
      <c r="A117" s="1">
        <v>1</v>
      </c>
      <c r="B117" s="2">
        <v>11</v>
      </c>
      <c r="C117" s="2">
        <f t="shared" si="7"/>
        <v>1.2E-2</v>
      </c>
      <c r="D117">
        <f t="shared" si="6"/>
        <v>1.0120722888660778</v>
      </c>
      <c r="E117">
        <f t="shared" si="4"/>
        <v>0.5029999640005185</v>
      </c>
      <c r="F117">
        <f t="shared" si="5"/>
        <v>-0.68716518045194619</v>
      </c>
    </row>
    <row r="118" spans="1:6">
      <c r="A118" s="1">
        <v>0</v>
      </c>
      <c r="B118" s="2">
        <v>11</v>
      </c>
      <c r="C118" s="2">
        <f t="shared" si="7"/>
        <v>1.2E-2</v>
      </c>
      <c r="D118">
        <f t="shared" si="6"/>
        <v>1.0120722888660778</v>
      </c>
      <c r="E118">
        <f t="shared" si="4"/>
        <v>0.4970000359994815</v>
      </c>
      <c r="F118">
        <f t="shared" si="5"/>
        <v>-0.69916518045194653</v>
      </c>
    </row>
    <row r="119" spans="1:6">
      <c r="A119" s="1">
        <v>0</v>
      </c>
      <c r="B119" s="2">
        <v>9</v>
      </c>
      <c r="C119" s="2">
        <f t="shared" si="7"/>
        <v>1.0000000000000002E-2</v>
      </c>
      <c r="D119">
        <f t="shared" si="6"/>
        <v>1.0100501670841679</v>
      </c>
      <c r="E119">
        <f t="shared" si="4"/>
        <v>0.49750002083312506</v>
      </c>
      <c r="F119">
        <f t="shared" si="5"/>
        <v>-0.69815968050786226</v>
      </c>
    </row>
    <row r="120" spans="1:6">
      <c r="A120" s="1">
        <v>1</v>
      </c>
      <c r="B120" s="2">
        <v>9</v>
      </c>
      <c r="C120" s="2">
        <f t="shared" si="7"/>
        <v>1.0000000000000002E-2</v>
      </c>
      <c r="D120">
        <f t="shared" si="6"/>
        <v>1.0100501670841679</v>
      </c>
      <c r="E120">
        <f t="shared" si="4"/>
        <v>0.50249997916687494</v>
      </c>
      <c r="F120">
        <f t="shared" si="5"/>
        <v>-0.68815968050786247</v>
      </c>
    </row>
    <row r="121" spans="1:6">
      <c r="A121" s="1">
        <v>0</v>
      </c>
      <c r="B121" s="2">
        <v>9</v>
      </c>
      <c r="C121" s="2">
        <f t="shared" si="7"/>
        <v>1.0000000000000002E-2</v>
      </c>
      <c r="D121">
        <f t="shared" si="6"/>
        <v>1.0100501670841679</v>
      </c>
      <c r="E121">
        <f t="shared" si="4"/>
        <v>0.49750002083312506</v>
      </c>
      <c r="F121">
        <f t="shared" si="5"/>
        <v>-0.69815968050786226</v>
      </c>
    </row>
    <row r="122" spans="1:6">
      <c r="A122" s="1">
        <v>1</v>
      </c>
      <c r="B122" s="2">
        <v>9</v>
      </c>
      <c r="C122" s="2">
        <f t="shared" si="7"/>
        <v>1.0000000000000002E-2</v>
      </c>
      <c r="D122">
        <f t="shared" si="6"/>
        <v>1.0100501670841679</v>
      </c>
      <c r="E122">
        <f t="shared" si="4"/>
        <v>0.50249997916687494</v>
      </c>
      <c r="F122">
        <f t="shared" si="5"/>
        <v>-0.68815968050786247</v>
      </c>
    </row>
    <row r="123" spans="1:6">
      <c r="A123" s="1">
        <v>0</v>
      </c>
      <c r="B123" s="2">
        <v>8</v>
      </c>
      <c r="C123" s="2">
        <f t="shared" si="7"/>
        <v>9.0000000000000011E-3</v>
      </c>
      <c r="D123">
        <f t="shared" si="6"/>
        <v>1.0090406217738679</v>
      </c>
      <c r="E123">
        <f t="shared" si="4"/>
        <v>0.49775001518737694</v>
      </c>
      <c r="F123">
        <f t="shared" si="5"/>
        <v>-0.69765730552577376</v>
      </c>
    </row>
    <row r="124" spans="1:6">
      <c r="A124" s="1">
        <v>0</v>
      </c>
      <c r="B124" s="2">
        <v>8</v>
      </c>
      <c r="C124" s="2">
        <f t="shared" si="7"/>
        <v>9.0000000000000011E-3</v>
      </c>
      <c r="D124">
        <f t="shared" si="6"/>
        <v>1.0090406217738679</v>
      </c>
      <c r="E124">
        <f t="shared" si="4"/>
        <v>0.49775001518737694</v>
      </c>
      <c r="F124">
        <f t="shared" si="5"/>
        <v>-0.69765730552577376</v>
      </c>
    </row>
    <row r="125" spans="1:6">
      <c r="A125" s="1">
        <v>0</v>
      </c>
      <c r="B125" s="2">
        <v>8</v>
      </c>
      <c r="C125" s="2">
        <f t="shared" si="7"/>
        <v>9.0000000000000011E-3</v>
      </c>
      <c r="D125">
        <f t="shared" si="6"/>
        <v>1.0090406217738679</v>
      </c>
      <c r="E125">
        <f t="shared" si="4"/>
        <v>0.49775001518737694</v>
      </c>
      <c r="F125">
        <f t="shared" si="5"/>
        <v>-0.69765730552577376</v>
      </c>
    </row>
    <row r="126" spans="1:6">
      <c r="A126" s="1">
        <v>0</v>
      </c>
      <c r="B126" s="2">
        <v>7</v>
      </c>
      <c r="C126" s="2">
        <f t="shared" si="7"/>
        <v>8.0000000000000002E-3</v>
      </c>
      <c r="D126">
        <f t="shared" si="6"/>
        <v>1.0080320855042735</v>
      </c>
      <c r="E126">
        <f t="shared" si="4"/>
        <v>0.49800001066659838</v>
      </c>
      <c r="F126">
        <f t="shared" si="5"/>
        <v>-0.69715518053861214</v>
      </c>
    </row>
    <row r="127" spans="1:6">
      <c r="A127" s="1">
        <v>0</v>
      </c>
      <c r="B127" s="2">
        <v>7</v>
      </c>
      <c r="C127" s="2">
        <f t="shared" si="7"/>
        <v>8.0000000000000002E-3</v>
      </c>
      <c r="D127">
        <f t="shared" si="6"/>
        <v>1.0080320855042735</v>
      </c>
      <c r="E127">
        <f t="shared" si="4"/>
        <v>0.49800001066659838</v>
      </c>
      <c r="F127">
        <f t="shared" si="5"/>
        <v>-0.69715518053861214</v>
      </c>
    </row>
    <row r="128" spans="1:6">
      <c r="A128" s="1">
        <v>0</v>
      </c>
      <c r="B128" s="2">
        <v>7</v>
      </c>
      <c r="C128" s="2">
        <f t="shared" si="7"/>
        <v>8.0000000000000002E-3</v>
      </c>
      <c r="D128">
        <f t="shared" si="6"/>
        <v>1.0080320855042735</v>
      </c>
      <c r="E128">
        <f t="shared" si="4"/>
        <v>0.49800001066659838</v>
      </c>
      <c r="F128">
        <f t="shared" si="5"/>
        <v>-0.69715518053861214</v>
      </c>
    </row>
    <row r="129" spans="1:6">
      <c r="A129" s="1">
        <v>0</v>
      </c>
      <c r="B129" s="2">
        <v>5</v>
      </c>
      <c r="C129" s="2">
        <f t="shared" si="7"/>
        <v>6.0000000000000001E-3</v>
      </c>
      <c r="D129">
        <f t="shared" si="6"/>
        <v>1.0060180360540649</v>
      </c>
      <c r="E129">
        <f t="shared" si="4"/>
        <v>0.49850000449998377</v>
      </c>
      <c r="F129">
        <f t="shared" si="5"/>
        <v>-0.69615168055319543</v>
      </c>
    </row>
    <row r="130" spans="1:6">
      <c r="A130" s="1">
        <v>0</v>
      </c>
      <c r="B130" s="2">
        <v>5</v>
      </c>
      <c r="C130" s="2">
        <f t="shared" si="7"/>
        <v>6.0000000000000001E-3</v>
      </c>
      <c r="D130">
        <f t="shared" si="6"/>
        <v>1.0060180360540649</v>
      </c>
      <c r="E130">
        <f t="shared" si="4"/>
        <v>0.49850000449998377</v>
      </c>
      <c r="F130">
        <f t="shared" si="5"/>
        <v>-0.69615168055319543</v>
      </c>
    </row>
    <row r="131" spans="1:6">
      <c r="A131" s="1">
        <v>0</v>
      </c>
      <c r="B131" s="2">
        <v>5</v>
      </c>
      <c r="C131" s="2">
        <f t="shared" si="7"/>
        <v>6.0000000000000001E-3</v>
      </c>
      <c r="D131">
        <f t="shared" si="6"/>
        <v>1.0060180360540649</v>
      </c>
      <c r="E131">
        <f t="shared" ref="E131:E144" si="8">IF(A131=1,D131/(1+D131),1-(D131/(1+D131)))</f>
        <v>0.49850000449998377</v>
      </c>
      <c r="F131">
        <f t="shared" ref="F131:F144" si="9">LN(E131)</f>
        <v>-0.69615168055319543</v>
      </c>
    </row>
    <row r="132" spans="1:6">
      <c r="A132" s="1">
        <v>1</v>
      </c>
      <c r="B132" s="2">
        <v>5</v>
      </c>
      <c r="C132" s="2">
        <f t="shared" si="7"/>
        <v>6.0000000000000001E-3</v>
      </c>
      <c r="D132">
        <f t="shared" si="6"/>
        <v>1.0060180360540649</v>
      </c>
      <c r="E132">
        <f t="shared" si="8"/>
        <v>0.50149999550001623</v>
      </c>
      <c r="F132">
        <f t="shared" si="9"/>
        <v>-0.69015168055319531</v>
      </c>
    </row>
    <row r="133" spans="1:6">
      <c r="A133" s="1">
        <v>0</v>
      </c>
      <c r="B133" s="2">
        <v>5</v>
      </c>
      <c r="C133" s="2">
        <f t="shared" si="7"/>
        <v>6.0000000000000001E-3</v>
      </c>
      <c r="D133">
        <f t="shared" ref="D133:D144" si="10">EXP(C133)</f>
        <v>1.0060180360540649</v>
      </c>
      <c r="E133">
        <f t="shared" si="8"/>
        <v>0.49850000449998377</v>
      </c>
      <c r="F133">
        <f t="shared" si="9"/>
        <v>-0.69615168055319543</v>
      </c>
    </row>
    <row r="134" spans="1:6">
      <c r="A134" s="1">
        <v>1</v>
      </c>
      <c r="B134" s="2">
        <v>4</v>
      </c>
      <c r="C134" s="2">
        <f t="shared" ref="C134:C144" si="11">$B$146+$B$147*B134</f>
        <v>5.0000000000000001E-3</v>
      </c>
      <c r="D134">
        <f t="shared" si="10"/>
        <v>1.005012520859401</v>
      </c>
      <c r="E134">
        <f t="shared" si="8"/>
        <v>0.50124999739583986</v>
      </c>
      <c r="F134">
        <f t="shared" si="9"/>
        <v>-0.69065030555669005</v>
      </c>
    </row>
    <row r="135" spans="1:6">
      <c r="A135" s="1">
        <v>0</v>
      </c>
      <c r="B135" s="2">
        <v>4</v>
      </c>
      <c r="C135" s="2">
        <f t="shared" si="11"/>
        <v>5.0000000000000001E-3</v>
      </c>
      <c r="D135">
        <f t="shared" si="10"/>
        <v>1.005012520859401</v>
      </c>
      <c r="E135">
        <f t="shared" si="8"/>
        <v>0.49875000260416014</v>
      </c>
      <c r="F135">
        <f t="shared" si="9"/>
        <v>-0.69565030555669016</v>
      </c>
    </row>
    <row r="136" spans="1:6">
      <c r="A136" s="1">
        <v>0</v>
      </c>
      <c r="B136" s="2">
        <v>3</v>
      </c>
      <c r="C136" s="2">
        <f t="shared" si="11"/>
        <v>4.0000000000000001E-3</v>
      </c>
      <c r="D136">
        <f t="shared" si="10"/>
        <v>1.0040080106773419</v>
      </c>
      <c r="E136">
        <f t="shared" si="8"/>
        <v>0.49900000133333122</v>
      </c>
      <c r="F136">
        <f t="shared" si="9"/>
        <v>-0.69514918055861197</v>
      </c>
    </row>
    <row r="137" spans="1:6">
      <c r="A137" s="1">
        <v>0</v>
      </c>
      <c r="B137" s="2">
        <v>3</v>
      </c>
      <c r="C137" s="2">
        <f t="shared" si="11"/>
        <v>4.0000000000000001E-3</v>
      </c>
      <c r="D137">
        <f t="shared" si="10"/>
        <v>1.0040080106773419</v>
      </c>
      <c r="E137">
        <f t="shared" si="8"/>
        <v>0.49900000133333122</v>
      </c>
      <c r="F137">
        <f t="shared" si="9"/>
        <v>-0.69514918055861197</v>
      </c>
    </row>
    <row r="138" spans="1:6">
      <c r="A138" s="1">
        <v>0</v>
      </c>
      <c r="B138" s="2">
        <v>3</v>
      </c>
      <c r="C138" s="2">
        <f t="shared" si="11"/>
        <v>4.0000000000000001E-3</v>
      </c>
      <c r="D138">
        <f t="shared" si="10"/>
        <v>1.0040080106773419</v>
      </c>
      <c r="E138">
        <f t="shared" si="8"/>
        <v>0.49900000133333122</v>
      </c>
      <c r="F138">
        <f t="shared" si="9"/>
        <v>-0.69514918055861197</v>
      </c>
    </row>
    <row r="139" spans="1:6">
      <c r="A139" s="1">
        <v>0</v>
      </c>
      <c r="B139" s="2">
        <v>1</v>
      </c>
      <c r="C139" s="2">
        <f t="shared" si="11"/>
        <v>2E-3</v>
      </c>
      <c r="D139">
        <f t="shared" si="10"/>
        <v>1.0020020013340003</v>
      </c>
      <c r="E139">
        <f t="shared" si="8"/>
        <v>0.49950000016666662</v>
      </c>
      <c r="F139">
        <f t="shared" si="9"/>
        <v>-0.69414768055986198</v>
      </c>
    </row>
    <row r="140" spans="1:6">
      <c r="A140" s="1">
        <v>0</v>
      </c>
      <c r="B140" s="2">
        <v>1</v>
      </c>
      <c r="C140" s="2">
        <f t="shared" si="11"/>
        <v>2E-3</v>
      </c>
      <c r="D140">
        <f t="shared" si="10"/>
        <v>1.0020020013340003</v>
      </c>
      <c r="E140">
        <f t="shared" si="8"/>
        <v>0.49950000016666662</v>
      </c>
      <c r="F140">
        <f t="shared" si="9"/>
        <v>-0.69414768055986198</v>
      </c>
    </row>
    <row r="141" spans="1:6">
      <c r="A141" s="1">
        <v>0</v>
      </c>
      <c r="B141" s="2">
        <v>0</v>
      </c>
      <c r="C141" s="2">
        <f t="shared" si="11"/>
        <v>1E-3</v>
      </c>
      <c r="D141">
        <f t="shared" si="10"/>
        <v>1.0010005001667084</v>
      </c>
      <c r="E141">
        <f t="shared" si="8"/>
        <v>0.49975000002083336</v>
      </c>
      <c r="F141">
        <f t="shared" si="9"/>
        <v>-0.69364730555994003</v>
      </c>
    </row>
    <row r="142" spans="1:6">
      <c r="A142" s="1">
        <v>0</v>
      </c>
      <c r="B142" s="2">
        <v>0</v>
      </c>
      <c r="C142" s="2">
        <f t="shared" si="11"/>
        <v>1E-3</v>
      </c>
      <c r="D142">
        <f t="shared" si="10"/>
        <v>1.0010005001667084</v>
      </c>
      <c r="E142">
        <f t="shared" si="8"/>
        <v>0.49975000002083336</v>
      </c>
      <c r="F142">
        <f t="shared" si="9"/>
        <v>-0.69364730555994003</v>
      </c>
    </row>
    <row r="143" spans="1:6">
      <c r="A143" s="1">
        <v>0</v>
      </c>
      <c r="B143" s="2">
        <v>0</v>
      </c>
      <c r="C143" s="2">
        <f t="shared" si="11"/>
        <v>1E-3</v>
      </c>
      <c r="D143">
        <f t="shared" si="10"/>
        <v>1.0010005001667084</v>
      </c>
      <c r="E143">
        <f t="shared" si="8"/>
        <v>0.49975000002083336</v>
      </c>
      <c r="F143">
        <f t="shared" si="9"/>
        <v>-0.69364730555994003</v>
      </c>
    </row>
    <row r="144" spans="1:6">
      <c r="A144" s="1">
        <v>0</v>
      </c>
      <c r="B144" s="2">
        <v>0</v>
      </c>
      <c r="C144" s="2">
        <f t="shared" si="11"/>
        <v>1E-3</v>
      </c>
      <c r="D144">
        <f t="shared" si="10"/>
        <v>1.0010005001667084</v>
      </c>
      <c r="E144">
        <f t="shared" si="8"/>
        <v>0.49975000002083336</v>
      </c>
      <c r="F144">
        <f t="shared" si="9"/>
        <v>-0.69364730555994003</v>
      </c>
    </row>
    <row r="146" spans="1:2">
      <c r="A146" t="s">
        <v>377</v>
      </c>
      <c r="B146">
        <v>1E-3</v>
      </c>
    </row>
    <row r="147" spans="1:2">
      <c r="A147" t="s">
        <v>378</v>
      </c>
      <c r="B147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2025-03-13T21:13:23Z</dcterms:created>
  <dcterms:modified xsi:type="dcterms:W3CDTF">2025-05-13T01:14:02Z</dcterms:modified>
  <cp:category/>
  <cp:contentStatus/>
</cp:coreProperties>
</file>